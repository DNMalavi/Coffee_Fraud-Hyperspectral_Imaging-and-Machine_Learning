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gentbe-my.sharepoint.com/personal/derick_malavi_ugent_be/Documents/Documenten/Derick Malavi_PhD Docs_UGent/Manuscript 4_Coffee/Inferences_Stats_Regression_Ground_Coffee/"/>
    </mc:Choice>
  </mc:AlternateContent>
  <xr:revisionPtr revIDLastSave="161" documentId="8_{DC6801CF-A912-4F1B-9C4F-0CB4357E0C72}" xr6:coauthVersionLast="47" xr6:coauthVersionMax="47" xr10:uidLastSave="{F45C6A7B-D017-4AA3-8252-67D696B56AA7}"/>
  <bookViews>
    <workbookView minimized="1" xWindow="2135" yWindow="2135" windowWidth="14400" windowHeight="6920" xr2:uid="{00000000-000D-0000-FFFF-FFFF00000000}"/>
  </bookViews>
  <sheets>
    <sheet name="Sheet1" sheetId="1" r:id="rId1"/>
  </sheets>
  <definedNames>
    <definedName name="Slicer_Model">#N/A</definedName>
    <definedName name="Slicer_Pre_processing">#N/A</definedName>
    <definedName name="Slicer_R_Squared">#N/A</definedName>
    <definedName name="Slicer_RMSEP">#N/A</definedName>
    <definedName name="Slicer_RPD">#N/A</definedName>
    <definedName name="Slicer_Variable_Select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7" i="1" l="1"/>
  <c r="F77" i="1"/>
  <c r="G77" i="1"/>
  <c r="H77" i="1"/>
  <c r="D77" i="1"/>
</calcChain>
</file>

<file path=xl/sharedStrings.xml><?xml version="1.0" encoding="utf-8"?>
<sst xmlns="http://schemas.openxmlformats.org/spreadsheetml/2006/main" count="234" uniqueCount="23">
  <si>
    <t>Model</t>
  </si>
  <si>
    <t>Pre_processing</t>
  </si>
  <si>
    <t>PLS</t>
  </si>
  <si>
    <t>LASSO</t>
  </si>
  <si>
    <t xml:space="preserve">Ridge </t>
  </si>
  <si>
    <t>Ridge</t>
  </si>
  <si>
    <t>Elastic Net</t>
  </si>
  <si>
    <t>Ensemble</t>
  </si>
  <si>
    <t>Unprocessed</t>
  </si>
  <si>
    <t>SNV+SG+1D</t>
  </si>
  <si>
    <t>SNV+SG+2D</t>
  </si>
  <si>
    <t>MSC+SG+1D</t>
  </si>
  <si>
    <t>MSC+SG+2D</t>
  </si>
  <si>
    <t>Variable_Selection</t>
  </si>
  <si>
    <t xml:space="preserve">None </t>
  </si>
  <si>
    <t>RMSEP</t>
  </si>
  <si>
    <t>RPD</t>
  </si>
  <si>
    <t>Boruta</t>
  </si>
  <si>
    <t>Genetic_Algorithm</t>
  </si>
  <si>
    <t>Total</t>
  </si>
  <si>
    <t xml:space="preserve">R_Squared </t>
  </si>
  <si>
    <t>R2CV</t>
  </si>
  <si>
    <t>RMSECV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</si>
</sst>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right/>
      <top/>
      <bottom style="medium">
        <color indexed="64"/>
      </bottom>
      <diagonal/>
    </border>
  </borders>
  <cellStyleXfs count="1">
    <xf numFmtId="0" fontId="0" fillId="0" borderId="0"/>
  </cellStyleXfs>
  <cellXfs count="43">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1" fillId="2" borderId="0" xfId="0" applyFont="1" applyFill="1" applyAlignment="1">
      <alignment horizontal="center"/>
    </xf>
    <xf numFmtId="0" fontId="0" fillId="0" borderId="0" xfId="0" applyAlignment="1">
      <alignment horizontal="center"/>
    </xf>
    <xf numFmtId="0" fontId="3" fillId="0" borderId="0" xfId="0" applyFont="1" applyAlignment="1">
      <alignment horizontal="left"/>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xf>
    <xf numFmtId="0" fontId="3" fillId="0" borderId="0" xfId="0" applyFont="1" applyAlignment="1">
      <alignment horizontal="left" vertical="center"/>
    </xf>
    <xf numFmtId="0" fontId="1" fillId="0" borderId="0" xfId="0" applyFont="1" applyAlignment="1">
      <alignment horizontal="left" vertical="center"/>
    </xf>
    <xf numFmtId="0" fontId="1" fillId="2" borderId="0" xfId="0" applyFont="1" applyFill="1" applyAlignment="1">
      <alignment horizontal="left" vertical="center"/>
    </xf>
    <xf numFmtId="0" fontId="0" fillId="0" borderId="0" xfId="0" applyAlignment="1">
      <alignment horizontal="left" vertical="center"/>
    </xf>
    <xf numFmtId="0" fontId="2" fillId="2" borderId="0" xfId="0" applyFont="1" applyFill="1" applyAlignment="1">
      <alignment horizontal="center" vertical="center" wrapText="1"/>
    </xf>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0" fontId="0" fillId="2" borderId="0" xfId="0" applyFill="1" applyAlignment="1">
      <alignment horizontal="center"/>
    </xf>
    <xf numFmtId="0" fontId="1" fillId="4" borderId="0" xfId="0" applyFont="1" applyFill="1" applyAlignment="1">
      <alignment horizontal="left" vertical="center" wrapText="1"/>
    </xf>
    <xf numFmtId="0" fontId="1" fillId="4" borderId="0" xfId="0" applyFont="1" applyFill="1" applyAlignment="1">
      <alignment horizontal="left" vertical="center"/>
    </xf>
    <xf numFmtId="0" fontId="1" fillId="4" borderId="0" xfId="0" applyFont="1" applyFill="1" applyAlignment="1">
      <alignment horizontal="center" vertical="center" wrapText="1"/>
    </xf>
    <xf numFmtId="0" fontId="2" fillId="4" borderId="0" xfId="0" applyFont="1" applyFill="1" applyAlignment="1">
      <alignment horizontal="center" vertical="center" wrapText="1"/>
    </xf>
    <xf numFmtId="0" fontId="1" fillId="4" borderId="0" xfId="0" applyFont="1" applyFill="1" applyAlignment="1">
      <alignment horizontal="center"/>
    </xf>
    <xf numFmtId="0" fontId="0" fillId="4" borderId="0" xfId="0" applyFill="1" applyAlignment="1">
      <alignment horizontal="center"/>
    </xf>
    <xf numFmtId="0" fontId="1" fillId="5" borderId="0" xfId="0" applyFont="1" applyFill="1" applyAlignment="1">
      <alignment horizontal="left" vertical="center" wrapText="1"/>
    </xf>
    <xf numFmtId="0" fontId="1" fillId="5" borderId="0" xfId="0" applyFont="1" applyFill="1" applyAlignment="1">
      <alignment horizontal="left" vertical="center"/>
    </xf>
    <xf numFmtId="0" fontId="1" fillId="5" borderId="0" xfId="0" applyFont="1" applyFill="1" applyAlignment="1">
      <alignment horizontal="center" vertical="center" wrapText="1"/>
    </xf>
    <xf numFmtId="0" fontId="2" fillId="5" borderId="0" xfId="0" applyFont="1" applyFill="1" applyAlignment="1">
      <alignment horizontal="center" vertical="center" wrapText="1"/>
    </xf>
    <xf numFmtId="0" fontId="1" fillId="5" borderId="0" xfId="0" applyFont="1" applyFill="1" applyAlignment="1">
      <alignment horizontal="center"/>
    </xf>
    <xf numFmtId="0" fontId="0" fillId="5" borderId="0" xfId="0" applyFill="1" applyAlignment="1">
      <alignment horizontal="center"/>
    </xf>
    <xf numFmtId="0" fontId="1" fillId="6" borderId="0" xfId="0" applyFont="1" applyFill="1" applyAlignment="1">
      <alignment horizontal="left" vertical="center" wrapText="1"/>
    </xf>
    <xf numFmtId="0" fontId="1" fillId="6" borderId="0" xfId="0" applyFont="1" applyFill="1" applyAlignment="1">
      <alignment horizontal="left" vertical="center"/>
    </xf>
    <xf numFmtId="0" fontId="1" fillId="6" borderId="0" xfId="0" applyFont="1" applyFill="1" applyAlignment="1">
      <alignment horizontal="center" vertical="center" wrapText="1"/>
    </xf>
    <xf numFmtId="0" fontId="2" fillId="6" borderId="0" xfId="0" applyFont="1" applyFill="1" applyAlignment="1">
      <alignment horizontal="center" vertical="center" wrapText="1"/>
    </xf>
    <xf numFmtId="0" fontId="1" fillId="6" borderId="0" xfId="0" applyFont="1" applyFill="1" applyAlignment="1">
      <alignment horizontal="center"/>
    </xf>
    <xf numFmtId="0" fontId="0" fillId="6" borderId="0" xfId="0" applyFill="1" applyAlignment="1">
      <alignment horizontal="center"/>
    </xf>
  </cellXfs>
  <cellStyles count="1">
    <cellStyle name="Normal" xfId="0" builtinId="0"/>
  </cellStyles>
  <dxfs count="18">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strike val="0"/>
        <outline val="0"/>
        <shadow val="0"/>
        <u val="none"/>
        <vertAlign val="baseline"/>
        <sz val="10"/>
        <color theme="1"/>
        <name val="Calibri"/>
        <family val="2"/>
        <scheme val="minor"/>
      </font>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alignment horizontal="center" textRotation="0" indent="0" justifyLastLine="0" shrinkToFit="0" readingOrder="0"/>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microsoft.com/office/2007/relationships/slicerCache" Target="slicerCaches/slicerCache2.xml"/><Relationship Id="rId7" Type="http://schemas.microsoft.com/office/2007/relationships/slicerCache" Target="slicerCaches/slicerCache6.xml"/><Relationship Id="rId12"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11" Type="http://schemas.microsoft.com/office/2017/10/relationships/person" Target="persons/person.xml"/><Relationship Id="rId5" Type="http://schemas.microsoft.com/office/2007/relationships/slicerCache" Target="slicerCaches/slicerCache4.xml"/><Relationship Id="rId15" Type="http://schemas.openxmlformats.org/officeDocument/2006/relationships/customXml" Target="../customXml/item3.xml"/><Relationship Id="rId10" Type="http://schemas.openxmlformats.org/officeDocument/2006/relationships/sharedStrings" Target="sharedStrings.xml"/><Relationship Id="rId4" Type="http://schemas.microsoft.com/office/2007/relationships/slicerCache" Target="slicerCaches/slicerCache3.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9</xdr:col>
      <xdr:colOff>38100</xdr:colOff>
      <xdr:row>82</xdr:row>
      <xdr:rowOff>171450</xdr:rowOff>
    </xdr:from>
    <xdr:to>
      <xdr:col>12</xdr:col>
      <xdr:colOff>38100</xdr:colOff>
      <xdr:row>91</xdr:row>
      <xdr:rowOff>171450</xdr:rowOff>
    </xdr:to>
    <mc:AlternateContent xmlns:mc="http://schemas.openxmlformats.org/markup-compatibility/2006" xmlns:sle15="http://schemas.microsoft.com/office/drawing/2012/slicer">
      <mc:Choice Requires="sle15">
        <xdr:graphicFrame macro="">
          <xdr:nvGraphicFramePr>
            <xdr:cNvPr id="2" name="Model">
              <a:extLst>
                <a:ext uri="{FF2B5EF4-FFF2-40B4-BE49-F238E27FC236}">
                  <a16:creationId xmlns:a16="http://schemas.microsoft.com/office/drawing/2014/main" id="{15FBAAE4-9453-EDAF-6231-5865D4FAA7A6}"/>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7877175" y="2076450"/>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485775</xdr:colOff>
      <xdr:row>0</xdr:row>
      <xdr:rowOff>180975</xdr:rowOff>
    </xdr:from>
    <xdr:to>
      <xdr:col>12</xdr:col>
      <xdr:colOff>485775</xdr:colOff>
      <xdr:row>81</xdr:row>
      <xdr:rowOff>133350</xdr:rowOff>
    </xdr:to>
    <mc:AlternateContent xmlns:mc="http://schemas.openxmlformats.org/markup-compatibility/2006" xmlns:sle15="http://schemas.microsoft.com/office/drawing/2012/slicer">
      <mc:Choice Requires="sle15">
        <xdr:graphicFrame macro="">
          <xdr:nvGraphicFramePr>
            <xdr:cNvPr id="3" name="Pre_processing">
              <a:extLst>
                <a:ext uri="{FF2B5EF4-FFF2-40B4-BE49-F238E27FC236}">
                  <a16:creationId xmlns:a16="http://schemas.microsoft.com/office/drawing/2014/main" id="{2B8F957A-825E-91DF-0837-E6D7EC115FA9}"/>
                </a:ext>
              </a:extLst>
            </xdr:cNvPr>
            <xdr:cNvGraphicFramePr/>
          </xdr:nvGraphicFramePr>
          <xdr:xfrm>
            <a:off x="0" y="0"/>
            <a:ext cx="0" cy="0"/>
          </xdr:xfrm>
          <a:graphic>
            <a:graphicData uri="http://schemas.microsoft.com/office/drawing/2010/slicer">
              <sle:slicer xmlns:sle="http://schemas.microsoft.com/office/drawing/2010/slicer" name="Pre_processing"/>
            </a:graphicData>
          </a:graphic>
        </xdr:graphicFrame>
      </mc:Choice>
      <mc:Fallback xmlns="">
        <xdr:sp macro="" textlink="">
          <xdr:nvSpPr>
            <xdr:cNvPr id="0" name=""/>
            <xdr:cNvSpPr>
              <a:spLocks noTextEdit="1"/>
            </xdr:cNvSpPr>
          </xdr:nvSpPr>
          <xdr:spPr>
            <a:xfrm>
              <a:off x="8324850" y="180975"/>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542925</xdr:colOff>
      <xdr:row>1</xdr:row>
      <xdr:rowOff>0</xdr:rowOff>
    </xdr:from>
    <xdr:to>
      <xdr:col>15</xdr:col>
      <xdr:colOff>542925</xdr:colOff>
      <xdr:row>79</xdr:row>
      <xdr:rowOff>47625</xdr:rowOff>
    </xdr:to>
    <mc:AlternateContent xmlns:mc="http://schemas.openxmlformats.org/markup-compatibility/2006" xmlns:sle15="http://schemas.microsoft.com/office/drawing/2012/slicer">
      <mc:Choice Requires="sle15">
        <xdr:graphicFrame macro="">
          <xdr:nvGraphicFramePr>
            <xdr:cNvPr id="4" name="Variable_Selection">
              <a:extLst>
                <a:ext uri="{FF2B5EF4-FFF2-40B4-BE49-F238E27FC236}">
                  <a16:creationId xmlns:a16="http://schemas.microsoft.com/office/drawing/2014/main" id="{F7419615-D108-1928-494B-153DE393376B}"/>
                </a:ext>
              </a:extLst>
            </xdr:cNvPr>
            <xdr:cNvGraphicFramePr/>
          </xdr:nvGraphicFramePr>
          <xdr:xfrm>
            <a:off x="0" y="0"/>
            <a:ext cx="0" cy="0"/>
          </xdr:xfrm>
          <a:graphic>
            <a:graphicData uri="http://schemas.microsoft.com/office/drawing/2010/slicer">
              <sle:slicer xmlns:sle="http://schemas.microsoft.com/office/drawing/2010/slicer" name="Variable_Selection"/>
            </a:graphicData>
          </a:graphic>
        </xdr:graphicFrame>
      </mc:Choice>
      <mc:Fallback xmlns="">
        <xdr:sp macro="" textlink="">
          <xdr:nvSpPr>
            <xdr:cNvPr id="0" name=""/>
            <xdr:cNvSpPr>
              <a:spLocks noTextEdit="1"/>
            </xdr:cNvSpPr>
          </xdr:nvSpPr>
          <xdr:spPr>
            <a:xfrm>
              <a:off x="10210800" y="190500"/>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57150</xdr:colOff>
      <xdr:row>11</xdr:row>
      <xdr:rowOff>28575</xdr:rowOff>
    </xdr:from>
    <xdr:to>
      <xdr:col>19</xdr:col>
      <xdr:colOff>57150</xdr:colOff>
      <xdr:row>86</xdr:row>
      <xdr:rowOff>38100</xdr:rowOff>
    </xdr:to>
    <mc:AlternateContent xmlns:mc="http://schemas.openxmlformats.org/markup-compatibility/2006" xmlns:sle15="http://schemas.microsoft.com/office/drawing/2012/slicer">
      <mc:Choice Requires="sle15">
        <xdr:graphicFrame macro="">
          <xdr:nvGraphicFramePr>
            <xdr:cNvPr id="5" name="RMSEP">
              <a:extLst>
                <a:ext uri="{FF2B5EF4-FFF2-40B4-BE49-F238E27FC236}">
                  <a16:creationId xmlns:a16="http://schemas.microsoft.com/office/drawing/2014/main" id="{4971FA1B-F472-C982-A05D-E411D122B97C}"/>
                </a:ext>
              </a:extLst>
            </xdr:cNvPr>
            <xdr:cNvGraphicFramePr/>
          </xdr:nvGraphicFramePr>
          <xdr:xfrm>
            <a:off x="0" y="0"/>
            <a:ext cx="0" cy="0"/>
          </xdr:xfrm>
          <a:graphic>
            <a:graphicData uri="http://schemas.microsoft.com/office/drawing/2010/slicer">
              <sle:slicer xmlns:sle="http://schemas.microsoft.com/office/drawing/2010/slicer" name="RMSEP"/>
            </a:graphicData>
          </a:graphic>
        </xdr:graphicFrame>
      </mc:Choice>
      <mc:Fallback xmlns="">
        <xdr:sp macro="" textlink="">
          <xdr:nvSpPr>
            <xdr:cNvPr id="0" name=""/>
            <xdr:cNvSpPr>
              <a:spLocks noTextEdit="1"/>
            </xdr:cNvSpPr>
          </xdr:nvSpPr>
          <xdr:spPr>
            <a:xfrm>
              <a:off x="12163425" y="219075"/>
              <a:ext cx="1828800" cy="2486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123825</xdr:colOff>
      <xdr:row>11</xdr:row>
      <xdr:rowOff>28575</xdr:rowOff>
    </xdr:from>
    <xdr:to>
      <xdr:col>22</xdr:col>
      <xdr:colOff>123825</xdr:colOff>
      <xdr:row>86</xdr:row>
      <xdr:rowOff>76200</xdr:rowOff>
    </xdr:to>
    <mc:AlternateContent xmlns:mc="http://schemas.openxmlformats.org/markup-compatibility/2006" xmlns:sle15="http://schemas.microsoft.com/office/drawing/2012/slicer">
      <mc:Choice Requires="sle15">
        <xdr:graphicFrame macro="">
          <xdr:nvGraphicFramePr>
            <xdr:cNvPr id="6" name="RPD">
              <a:extLst>
                <a:ext uri="{FF2B5EF4-FFF2-40B4-BE49-F238E27FC236}">
                  <a16:creationId xmlns:a16="http://schemas.microsoft.com/office/drawing/2014/main" id="{EA44C040-F5CD-D1E8-E7FB-FB4DD2AB8AEE}"/>
                </a:ext>
              </a:extLst>
            </xdr:cNvPr>
            <xdr:cNvGraphicFramePr/>
          </xdr:nvGraphicFramePr>
          <xdr:xfrm>
            <a:off x="0" y="0"/>
            <a:ext cx="0" cy="0"/>
          </xdr:xfrm>
          <a:graphic>
            <a:graphicData uri="http://schemas.microsoft.com/office/drawing/2010/slicer">
              <sle:slicer xmlns:sle="http://schemas.microsoft.com/office/drawing/2010/slicer" name="RPD"/>
            </a:graphicData>
          </a:graphic>
        </xdr:graphicFrame>
      </mc:Choice>
      <mc:Fallback xmlns="">
        <xdr:sp macro="" textlink="">
          <xdr:nvSpPr>
            <xdr:cNvPr id="0" name=""/>
            <xdr:cNvSpPr>
              <a:spLocks noTextEdit="1"/>
            </xdr:cNvSpPr>
          </xdr:nvSpPr>
          <xdr:spPr>
            <a:xfrm>
              <a:off x="14058900" y="219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504825</xdr:colOff>
      <xdr:row>86</xdr:row>
      <xdr:rowOff>180975</xdr:rowOff>
    </xdr:from>
    <xdr:to>
      <xdr:col>15</xdr:col>
      <xdr:colOff>504825</xdr:colOff>
      <xdr:row>100</xdr:row>
      <xdr:rowOff>38100</xdr:rowOff>
    </xdr:to>
    <mc:AlternateContent xmlns:mc="http://schemas.openxmlformats.org/markup-compatibility/2006" xmlns:sle15="http://schemas.microsoft.com/office/drawing/2012/slicer">
      <mc:Choice Requires="sle15">
        <xdr:graphicFrame macro="">
          <xdr:nvGraphicFramePr>
            <xdr:cNvPr id="7" name="R_Squared ">
              <a:extLst>
                <a:ext uri="{FF2B5EF4-FFF2-40B4-BE49-F238E27FC236}">
                  <a16:creationId xmlns:a16="http://schemas.microsoft.com/office/drawing/2014/main" id="{BF6858BE-DE02-25A3-5AD4-EFE1E1156367}"/>
                </a:ext>
              </a:extLst>
            </xdr:cNvPr>
            <xdr:cNvGraphicFramePr/>
          </xdr:nvGraphicFramePr>
          <xdr:xfrm>
            <a:off x="0" y="0"/>
            <a:ext cx="0" cy="0"/>
          </xdr:xfrm>
          <a:graphic>
            <a:graphicData uri="http://schemas.microsoft.com/office/drawing/2010/slicer">
              <sle:slicer xmlns:sle="http://schemas.microsoft.com/office/drawing/2010/slicer" name="R_Squared "/>
            </a:graphicData>
          </a:graphic>
        </xdr:graphicFrame>
      </mc:Choice>
      <mc:Fallback xmlns="">
        <xdr:sp macro="" textlink="">
          <xdr:nvSpPr>
            <xdr:cNvPr id="0" name=""/>
            <xdr:cNvSpPr>
              <a:spLocks noTextEdit="1"/>
            </xdr:cNvSpPr>
          </xdr:nvSpPr>
          <xdr:spPr>
            <a:xfrm>
              <a:off x="10172700" y="2847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FFDCB703-6194-45E8-93CA-B6A579FE6132}" sourceName="Model">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_processing" xr10:uid="{6913DD27-C9A1-4ABB-88A9-A00FEAF8A179}" sourceName="Pre_processing">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ble_Selection" xr10:uid="{C71E5E92-4A17-4FCD-B10A-DA7C0488A120}" sourceName="Variable_Selection">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MSEP" xr10:uid="{F505185B-EEA4-4FA3-A4F3-7A4B6B6E6480}" sourceName="RMSEP">
  <extLst>
    <x:ext xmlns:x15="http://schemas.microsoft.com/office/spreadsheetml/2010/11/main" uri="{2F2917AC-EB37-4324-AD4E-5DD8C200BD13}">
      <x15:tableSlicerCache tableId="2"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PD" xr10:uid="{CB282E1A-138A-4A91-866F-41A2553D6DFF}" sourceName="RPD">
  <extLst>
    <x:ext xmlns:x15="http://schemas.microsoft.com/office/spreadsheetml/2010/11/main" uri="{2F2917AC-EB37-4324-AD4E-5DD8C200BD13}">
      <x15:tableSlicerCache tableId="2"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_Squared" xr10:uid="{F113CD5B-19DB-48D8-8447-34D699231E48}" sourceName="R_Squared ">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B0A1D550-DA64-4A2A-A370-317F8FA30866}" cache="Slicer_Model" caption="Model" startItem="1" rowHeight="241300"/>
  <slicer name="Pre_processing" xr10:uid="{D7A3C427-1CE4-450B-8BD2-4AF5CC4E8A6C}" cache="Slicer_Pre_processing" caption="Pre_processing" startItem="1" rowHeight="241300"/>
  <slicer name="Variable_Selection" xr10:uid="{FA7AEEA0-2495-49AB-88D1-177CBD93C058}" cache="Slicer_Variable_Selection" caption="Variable_Selection" rowHeight="241300"/>
  <slicer name="RMSEP" xr10:uid="{DC58FD83-C389-4C9C-91F3-2F2B01BB6823}" cache="Slicer_RMSEP" caption="RMSEP" rowHeight="241300"/>
  <slicer name="RPD" xr10:uid="{6F9FB79E-0896-4D0C-9124-D8A9B844694D}" cache="Slicer_RPD" caption="RPD" rowHeight="241300"/>
  <slicer name="R_Squared " xr10:uid="{33E76CA4-6E0B-431A-9621-FBA40E34172A}" cache="Slicer_R_Squared" caption="R_Squared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C082AE-A8C7-40E6-9B87-4AAACC1C2C4B}" name="Table2" displayName="Table2" ref="A1:H77" totalsRowCount="1" headerRowDxfId="17" dataDxfId="16">
  <autoFilter ref="A1:H76" xr:uid="{90C082AE-A8C7-40E6-9B87-4AAACC1C2C4B}">
    <filterColumn colId="0">
      <filters>
        <filter val="Ridge"/>
      </filters>
    </filterColumn>
    <filterColumn colId="1">
      <filters>
        <filter val="Unprocessed"/>
      </filters>
    </filterColumn>
  </autoFilter>
  <sortState xmlns:xlrd2="http://schemas.microsoft.com/office/spreadsheetml/2017/richdata2" ref="A17:H71">
    <sortCondition descending="1" ref="F1:F76"/>
  </sortState>
  <tableColumns count="8">
    <tableColumn id="1" xr3:uid="{D6D79809-E72B-4FF4-A7A9-2F2603366CA2}" name="Model" totalsRowLabel="Total" dataDxfId="15" totalsRowDxfId="14"/>
    <tableColumn id="2" xr3:uid="{12446EEF-446B-43C5-A249-0703D6063C17}" name="Pre_processing" dataDxfId="13" totalsRowDxfId="12"/>
    <tableColumn id="3" xr3:uid="{F58F77B2-E78E-474D-B9BB-65171A6C83D6}" name="Variable_Selection" dataDxfId="11" totalsRowDxfId="10"/>
    <tableColumn id="4" xr3:uid="{D9534793-335B-43BA-A653-BEFBBB3710EF}" name="RMSEP" totalsRowFunction="max" dataDxfId="9" totalsRowDxfId="8"/>
    <tableColumn id="8" xr3:uid="{BCF40FCD-CCAF-4CC7-B880-0E0F9FF9269E}" name="RMSECV" totalsRowFunction="max" dataDxfId="7" totalsRowDxfId="6"/>
    <tableColumn id="5" xr3:uid="{9DC3DC0A-616E-4472-98EE-D2C0BF3D291A}" name="RPD" totalsRowFunction="max" dataDxfId="5" totalsRowDxfId="4"/>
    <tableColumn id="6" xr3:uid="{1EF2143E-D82D-4A76-BAA5-3C69A62EB967}" name="R_Squared " totalsRowFunction="max" dataDxfId="3" totalsRowDxfId="2"/>
    <tableColumn id="7" xr3:uid="{9A134DA2-4A62-4885-B233-E0E939B317DB}" name="R2CV" totalsRowFunction="max"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
  <sheetViews>
    <sheetView tabSelected="1" workbookViewId="0">
      <selection activeCell="L32" sqref="L32"/>
    </sheetView>
  </sheetViews>
  <sheetFormatPr defaultRowHeight="14.75" x14ac:dyDescent="0.75"/>
  <cols>
    <col min="1" max="1" width="10.1328125" style="14" bestFit="1" customWidth="1"/>
    <col min="2" max="2" width="16.54296875" style="18" bestFit="1" customWidth="1"/>
    <col min="3" max="3" width="19.36328125" style="18" bestFit="1" customWidth="1"/>
    <col min="4" max="4" width="10.5" style="3" bestFit="1" customWidth="1"/>
    <col min="5" max="5" width="10.5" style="3" customWidth="1"/>
    <col min="6" max="6" width="13.6796875" style="4" bestFit="1" customWidth="1"/>
    <col min="7" max="7" width="13.6796875" bestFit="1" customWidth="1"/>
    <col min="8" max="8" width="9.31640625" bestFit="1" customWidth="1"/>
  </cols>
  <sheetData>
    <row r="1" spans="1:8" x14ac:dyDescent="0.75">
      <c r="A1" s="9" t="s">
        <v>0</v>
      </c>
      <c r="B1" s="15" t="s">
        <v>1</v>
      </c>
      <c r="C1" s="15" t="s">
        <v>13</v>
      </c>
      <c r="D1" s="2" t="s">
        <v>15</v>
      </c>
      <c r="E1" s="2" t="s">
        <v>22</v>
      </c>
      <c r="F1" s="2" t="s">
        <v>16</v>
      </c>
      <c r="G1" s="2" t="s">
        <v>20</v>
      </c>
      <c r="H1" s="2" t="s">
        <v>21</v>
      </c>
    </row>
    <row r="2" spans="1:8" hidden="1" x14ac:dyDescent="0.75">
      <c r="A2" s="10" t="s">
        <v>2</v>
      </c>
      <c r="B2" s="10" t="s">
        <v>9</v>
      </c>
      <c r="C2" s="16" t="s">
        <v>18</v>
      </c>
      <c r="D2" s="1">
        <v>10.119999999999999</v>
      </c>
      <c r="E2" s="5">
        <v>5.43</v>
      </c>
      <c r="F2" s="1">
        <v>2.88</v>
      </c>
      <c r="G2" s="5">
        <v>0.89</v>
      </c>
      <c r="H2" s="8">
        <v>0.97</v>
      </c>
    </row>
    <row r="3" spans="1:8" hidden="1" x14ac:dyDescent="0.75">
      <c r="A3" s="10" t="s">
        <v>2</v>
      </c>
      <c r="B3" s="10" t="s">
        <v>11</v>
      </c>
      <c r="C3" s="16" t="s">
        <v>18</v>
      </c>
      <c r="D3" s="1">
        <v>9.5299999999999994</v>
      </c>
      <c r="E3" s="5">
        <v>5.51</v>
      </c>
      <c r="F3" s="1">
        <v>3.05</v>
      </c>
      <c r="G3" s="5">
        <v>0.91</v>
      </c>
      <c r="H3" s="8">
        <v>0.96</v>
      </c>
    </row>
    <row r="4" spans="1:8" hidden="1" x14ac:dyDescent="0.75">
      <c r="A4" s="10" t="s">
        <v>2</v>
      </c>
      <c r="B4" s="10" t="s">
        <v>12</v>
      </c>
      <c r="C4" s="16" t="s">
        <v>17</v>
      </c>
      <c r="D4" s="1">
        <v>9.07</v>
      </c>
      <c r="E4" s="5">
        <v>5.87</v>
      </c>
      <c r="F4" s="1">
        <v>3.21</v>
      </c>
      <c r="G4" s="5">
        <v>0.92</v>
      </c>
      <c r="H4" s="8">
        <v>0.96</v>
      </c>
    </row>
    <row r="5" spans="1:8" hidden="1" x14ac:dyDescent="0.75">
      <c r="A5" s="10" t="s">
        <v>2</v>
      </c>
      <c r="B5" s="10" t="s">
        <v>12</v>
      </c>
      <c r="C5" s="16" t="s">
        <v>14</v>
      </c>
      <c r="D5" s="1">
        <v>9</v>
      </c>
      <c r="E5" s="5">
        <v>5.5</v>
      </c>
      <c r="F5" s="1">
        <v>3.24</v>
      </c>
      <c r="G5" s="4">
        <v>0.92</v>
      </c>
      <c r="H5" s="8">
        <v>0.96</v>
      </c>
    </row>
    <row r="6" spans="1:8" hidden="1" x14ac:dyDescent="0.75">
      <c r="A6" s="10" t="s">
        <v>2</v>
      </c>
      <c r="B6" s="10" t="s">
        <v>8</v>
      </c>
      <c r="C6" s="16" t="s">
        <v>18</v>
      </c>
      <c r="D6" s="1">
        <v>8.9</v>
      </c>
      <c r="E6" s="5">
        <v>5.64</v>
      </c>
      <c r="F6" s="1">
        <v>3.27</v>
      </c>
      <c r="G6" s="5">
        <v>0.91</v>
      </c>
      <c r="H6" s="8">
        <v>0.96</v>
      </c>
    </row>
    <row r="7" spans="1:8" hidden="1" x14ac:dyDescent="0.75">
      <c r="A7" s="11" t="s">
        <v>3</v>
      </c>
      <c r="B7" s="11" t="s">
        <v>12</v>
      </c>
      <c r="C7" s="17" t="s">
        <v>14</v>
      </c>
      <c r="D7" s="6">
        <v>7.92</v>
      </c>
      <c r="E7" s="5">
        <v>5.94</v>
      </c>
      <c r="F7" s="6">
        <v>3.68</v>
      </c>
      <c r="G7" s="7">
        <v>0.93</v>
      </c>
      <c r="H7" s="8">
        <v>0.96</v>
      </c>
    </row>
    <row r="8" spans="1:8" hidden="1" x14ac:dyDescent="0.75">
      <c r="A8" s="10" t="s">
        <v>3</v>
      </c>
      <c r="B8" s="10" t="s">
        <v>10</v>
      </c>
      <c r="C8" s="16" t="s">
        <v>14</v>
      </c>
      <c r="D8" s="1">
        <v>7.94</v>
      </c>
      <c r="E8" s="5">
        <v>5.99</v>
      </c>
      <c r="F8" s="1">
        <v>3.67</v>
      </c>
      <c r="G8" s="4">
        <v>0.93</v>
      </c>
      <c r="H8" s="8">
        <v>0.96</v>
      </c>
    </row>
    <row r="9" spans="1:8" hidden="1" x14ac:dyDescent="0.75">
      <c r="A9" s="10" t="s">
        <v>3</v>
      </c>
      <c r="B9" s="10" t="s">
        <v>10</v>
      </c>
      <c r="C9" s="16" t="s">
        <v>18</v>
      </c>
      <c r="D9" s="1">
        <v>7.98</v>
      </c>
      <c r="E9" s="5">
        <v>6.59</v>
      </c>
      <c r="F9" s="1">
        <v>3.65</v>
      </c>
      <c r="G9" s="5">
        <v>0.93</v>
      </c>
      <c r="H9" s="5">
        <v>0.95</v>
      </c>
    </row>
    <row r="10" spans="1:8" hidden="1" x14ac:dyDescent="0.75">
      <c r="A10" s="10" t="s">
        <v>3</v>
      </c>
      <c r="B10" s="10" t="s">
        <v>10</v>
      </c>
      <c r="C10" s="16" t="s">
        <v>17</v>
      </c>
      <c r="D10" s="1">
        <v>8.02</v>
      </c>
      <c r="E10" s="5">
        <v>6.07</v>
      </c>
      <c r="F10" s="1">
        <v>3.63</v>
      </c>
      <c r="G10" s="5">
        <v>0.93</v>
      </c>
      <c r="H10" s="5">
        <v>0.96</v>
      </c>
    </row>
    <row r="11" spans="1:8" hidden="1" x14ac:dyDescent="0.75">
      <c r="A11" s="10" t="s">
        <v>3</v>
      </c>
      <c r="B11" s="10" t="s">
        <v>12</v>
      </c>
      <c r="C11" s="16" t="s">
        <v>17</v>
      </c>
      <c r="D11" s="1">
        <v>8.01</v>
      </c>
      <c r="E11" s="5">
        <v>6.04</v>
      </c>
      <c r="F11" s="1">
        <v>3.63</v>
      </c>
      <c r="G11" s="5">
        <v>0.93</v>
      </c>
      <c r="H11" s="5">
        <v>0.96</v>
      </c>
    </row>
    <row r="12" spans="1:8" x14ac:dyDescent="0.75">
      <c r="A12" s="10" t="s">
        <v>4</v>
      </c>
      <c r="B12" s="10" t="s">
        <v>8</v>
      </c>
      <c r="C12" s="16" t="s">
        <v>14</v>
      </c>
      <c r="D12" s="1">
        <v>16.399999999999999</v>
      </c>
      <c r="E12" s="5">
        <v>11.9</v>
      </c>
      <c r="F12" s="1">
        <v>1.78</v>
      </c>
      <c r="G12" s="4">
        <v>0.75</v>
      </c>
      <c r="H12" s="8">
        <v>0.83</v>
      </c>
    </row>
    <row r="13" spans="1:8" hidden="1" x14ac:dyDescent="0.75">
      <c r="A13" s="10" t="s">
        <v>5</v>
      </c>
      <c r="B13" s="10" t="s">
        <v>9</v>
      </c>
      <c r="C13" s="16" t="s">
        <v>14</v>
      </c>
      <c r="D13" s="1">
        <v>12.1</v>
      </c>
      <c r="E13" s="5">
        <v>8.85</v>
      </c>
      <c r="F13" s="1">
        <v>2.41</v>
      </c>
      <c r="G13" s="4">
        <v>0.87</v>
      </c>
      <c r="H13" s="8">
        <v>0.91</v>
      </c>
    </row>
    <row r="14" spans="1:8" hidden="1" x14ac:dyDescent="0.75">
      <c r="A14" s="25" t="s">
        <v>5</v>
      </c>
      <c r="B14" s="25" t="s">
        <v>10</v>
      </c>
      <c r="C14" s="26" t="s">
        <v>14</v>
      </c>
      <c r="D14" s="27">
        <v>9.8000000000000007</v>
      </c>
      <c r="E14" s="28">
        <v>7.48</v>
      </c>
      <c r="F14" s="27">
        <v>2.97</v>
      </c>
      <c r="G14" s="29">
        <v>0.89</v>
      </c>
      <c r="H14" s="30">
        <v>0.93</v>
      </c>
    </row>
    <row r="15" spans="1:8" hidden="1" x14ac:dyDescent="0.75">
      <c r="A15" s="10" t="s">
        <v>5</v>
      </c>
      <c r="B15" s="10" t="s">
        <v>11</v>
      </c>
      <c r="C15" s="16" t="s">
        <v>14</v>
      </c>
      <c r="D15" s="1">
        <v>12.2</v>
      </c>
      <c r="E15" s="5">
        <v>8.7200000000000006</v>
      </c>
      <c r="F15" s="1">
        <v>2.4</v>
      </c>
      <c r="G15" s="4">
        <v>0.88</v>
      </c>
      <c r="H15" s="8">
        <v>0.91</v>
      </c>
    </row>
    <row r="16" spans="1:8" hidden="1" x14ac:dyDescent="0.75">
      <c r="A16" s="11" t="s">
        <v>5</v>
      </c>
      <c r="B16" s="11" t="s">
        <v>12</v>
      </c>
      <c r="C16" s="17" t="s">
        <v>14</v>
      </c>
      <c r="D16" s="6">
        <v>9.56</v>
      </c>
      <c r="E16" s="19">
        <v>7.39</v>
      </c>
      <c r="F16" s="6">
        <v>3.04</v>
      </c>
      <c r="G16" s="7">
        <v>0.9</v>
      </c>
      <c r="H16" s="24">
        <v>0.94</v>
      </c>
    </row>
    <row r="17" spans="1:8" hidden="1" x14ac:dyDescent="0.75">
      <c r="A17" s="37" t="s">
        <v>6</v>
      </c>
      <c r="B17" s="37" t="s">
        <v>10</v>
      </c>
      <c r="C17" s="38" t="s">
        <v>18</v>
      </c>
      <c r="D17" s="39">
        <v>7.87</v>
      </c>
      <c r="E17" s="40">
        <v>6.55</v>
      </c>
      <c r="F17" s="39">
        <v>3.7</v>
      </c>
      <c r="G17" s="40">
        <v>0.93</v>
      </c>
      <c r="H17" s="40">
        <v>0.95</v>
      </c>
    </row>
    <row r="18" spans="1:8" hidden="1" x14ac:dyDescent="0.75">
      <c r="A18" s="37" t="s">
        <v>6</v>
      </c>
      <c r="B18" s="37" t="s">
        <v>12</v>
      </c>
      <c r="C18" s="38" t="s">
        <v>14</v>
      </c>
      <c r="D18" s="39">
        <v>7.92</v>
      </c>
      <c r="E18" s="40">
        <v>5.95</v>
      </c>
      <c r="F18" s="39">
        <v>3.68</v>
      </c>
      <c r="G18" s="41">
        <v>0.93</v>
      </c>
      <c r="H18" s="42">
        <v>0.96</v>
      </c>
    </row>
    <row r="19" spans="1:8" hidden="1" x14ac:dyDescent="0.75">
      <c r="A19" s="10" t="s">
        <v>6</v>
      </c>
      <c r="B19" s="10" t="s">
        <v>12</v>
      </c>
      <c r="C19" s="16" t="s">
        <v>17</v>
      </c>
      <c r="D19" s="1">
        <v>8.02</v>
      </c>
      <c r="E19" s="5">
        <v>6.04</v>
      </c>
      <c r="F19" s="1">
        <v>3.63</v>
      </c>
      <c r="G19" s="5">
        <v>0.93</v>
      </c>
      <c r="H19" s="5">
        <v>0.96</v>
      </c>
    </row>
    <row r="20" spans="1:8" hidden="1" x14ac:dyDescent="0.75">
      <c r="A20" s="10" t="s">
        <v>6</v>
      </c>
      <c r="B20" s="10" t="s">
        <v>10</v>
      </c>
      <c r="C20" s="16" t="s">
        <v>17</v>
      </c>
      <c r="D20" s="1">
        <v>8.0399999999999991</v>
      </c>
      <c r="E20" s="5">
        <v>6.06</v>
      </c>
      <c r="F20" s="1">
        <v>3.62</v>
      </c>
      <c r="G20" s="5">
        <v>0.93</v>
      </c>
      <c r="H20" s="5">
        <v>0.96</v>
      </c>
    </row>
    <row r="21" spans="1:8" hidden="1" x14ac:dyDescent="0.75">
      <c r="A21" s="10" t="s">
        <v>6</v>
      </c>
      <c r="B21" s="10" t="s">
        <v>10</v>
      </c>
      <c r="C21" s="16" t="s">
        <v>14</v>
      </c>
      <c r="D21" s="1">
        <v>8.06</v>
      </c>
      <c r="E21" s="5">
        <v>5.97</v>
      </c>
      <c r="F21" s="1">
        <v>3.61</v>
      </c>
      <c r="G21" s="4">
        <v>0.93</v>
      </c>
      <c r="H21" s="8">
        <v>0.96</v>
      </c>
    </row>
    <row r="22" spans="1:8" hidden="1" x14ac:dyDescent="0.75">
      <c r="A22" s="37" t="s">
        <v>7</v>
      </c>
      <c r="B22" s="37" t="s">
        <v>8</v>
      </c>
      <c r="C22" s="38" t="s">
        <v>17</v>
      </c>
      <c r="D22" s="39">
        <v>6.69</v>
      </c>
      <c r="E22" s="40">
        <v>4.58</v>
      </c>
      <c r="F22" s="39">
        <v>4.3499999999999996</v>
      </c>
      <c r="G22" s="40">
        <v>0.95</v>
      </c>
      <c r="H22" s="40">
        <v>0.97</v>
      </c>
    </row>
    <row r="23" spans="1:8" hidden="1" x14ac:dyDescent="0.75">
      <c r="A23" s="10" t="s">
        <v>7</v>
      </c>
      <c r="B23" s="10" t="s">
        <v>8</v>
      </c>
      <c r="C23" s="16" t="s">
        <v>14</v>
      </c>
      <c r="D23" s="1">
        <v>6.94</v>
      </c>
      <c r="E23" s="5">
        <v>4.5</v>
      </c>
      <c r="F23" s="1">
        <v>4.1900000000000004</v>
      </c>
      <c r="G23" s="4">
        <v>0.94</v>
      </c>
      <c r="H23" s="8">
        <v>0.98</v>
      </c>
    </row>
    <row r="24" spans="1:8" hidden="1" x14ac:dyDescent="0.75">
      <c r="A24" s="10" t="s">
        <v>7</v>
      </c>
      <c r="B24" s="10" t="s">
        <v>8</v>
      </c>
      <c r="C24" s="16" t="s">
        <v>18</v>
      </c>
      <c r="D24" s="1">
        <v>7</v>
      </c>
      <c r="E24" s="5">
        <v>5.08</v>
      </c>
      <c r="F24" s="1">
        <v>4.16</v>
      </c>
      <c r="G24" s="5">
        <v>0.94</v>
      </c>
      <c r="H24" s="5">
        <v>0.97</v>
      </c>
    </row>
    <row r="25" spans="1:8" hidden="1" x14ac:dyDescent="0.75">
      <c r="A25" s="10" t="s">
        <v>7</v>
      </c>
      <c r="B25" s="10" t="s">
        <v>10</v>
      </c>
      <c r="C25" s="16" t="s">
        <v>14</v>
      </c>
      <c r="D25" s="1">
        <v>7.03</v>
      </c>
      <c r="E25" s="5">
        <v>5.15</v>
      </c>
      <c r="F25" s="1">
        <v>4.1399999999999997</v>
      </c>
      <c r="G25" s="4">
        <v>0.94</v>
      </c>
      <c r="H25" s="8">
        <v>0.97</v>
      </c>
    </row>
    <row r="26" spans="1:8" hidden="1" x14ac:dyDescent="0.75">
      <c r="A26" s="10" t="s">
        <v>7</v>
      </c>
      <c r="B26" s="10" t="s">
        <v>10</v>
      </c>
      <c r="C26" s="16" t="s">
        <v>18</v>
      </c>
      <c r="D26" s="1">
        <v>7.07</v>
      </c>
      <c r="E26" s="5">
        <v>5.72</v>
      </c>
      <c r="F26" s="1">
        <v>4.12</v>
      </c>
      <c r="G26" s="5">
        <v>0.94</v>
      </c>
      <c r="H26" s="5">
        <v>0.96</v>
      </c>
    </row>
    <row r="27" spans="1:8" hidden="1" x14ac:dyDescent="0.75">
      <c r="A27" s="10" t="s">
        <v>2</v>
      </c>
      <c r="B27" s="10" t="s">
        <v>9</v>
      </c>
      <c r="C27" s="16" t="s">
        <v>14</v>
      </c>
      <c r="D27" s="1">
        <v>8.86</v>
      </c>
      <c r="E27" s="5">
        <v>5.57</v>
      </c>
      <c r="F27" s="1">
        <v>3.29</v>
      </c>
      <c r="G27" s="4">
        <v>0.92</v>
      </c>
      <c r="H27" s="5">
        <v>0.96</v>
      </c>
    </row>
    <row r="28" spans="1:8" hidden="1" x14ac:dyDescent="0.75">
      <c r="A28" s="10" t="s">
        <v>2</v>
      </c>
      <c r="B28" s="10" t="s">
        <v>11</v>
      </c>
      <c r="C28" s="16" t="s">
        <v>14</v>
      </c>
      <c r="D28" s="1">
        <v>8.85</v>
      </c>
      <c r="E28" s="5">
        <v>5.53</v>
      </c>
      <c r="F28" s="1">
        <v>3.29</v>
      </c>
      <c r="G28" s="4">
        <v>0.92</v>
      </c>
      <c r="H28" s="5">
        <v>0.96</v>
      </c>
    </row>
    <row r="29" spans="1:8" hidden="1" x14ac:dyDescent="0.75">
      <c r="A29" s="10" t="s">
        <v>2</v>
      </c>
      <c r="B29" s="10" t="s">
        <v>9</v>
      </c>
      <c r="C29" s="16" t="s">
        <v>17</v>
      </c>
      <c r="D29" s="1">
        <v>8.66</v>
      </c>
      <c r="E29" s="5">
        <v>5.89</v>
      </c>
      <c r="F29" s="1">
        <v>3.36</v>
      </c>
      <c r="G29" s="5">
        <v>0.92</v>
      </c>
      <c r="H29" s="5">
        <v>0.96</v>
      </c>
    </row>
    <row r="30" spans="1:8" hidden="1" x14ac:dyDescent="0.75">
      <c r="A30" s="10" t="s">
        <v>2</v>
      </c>
      <c r="B30" s="10" t="s">
        <v>11</v>
      </c>
      <c r="C30" s="16" t="s">
        <v>17</v>
      </c>
      <c r="D30" s="1">
        <v>8.4600000000000009</v>
      </c>
      <c r="E30" s="5">
        <v>5.57</v>
      </c>
      <c r="F30" s="1">
        <v>3.44</v>
      </c>
      <c r="G30" s="5">
        <v>0.92</v>
      </c>
      <c r="H30" s="5">
        <v>0.96</v>
      </c>
    </row>
    <row r="31" spans="1:8" hidden="1" x14ac:dyDescent="0.75">
      <c r="A31" s="10" t="s">
        <v>2</v>
      </c>
      <c r="B31" s="10" t="s">
        <v>8</v>
      </c>
      <c r="C31" s="16" t="s">
        <v>14</v>
      </c>
      <c r="D31" s="1">
        <v>8.19</v>
      </c>
      <c r="E31" s="5">
        <v>5.69</v>
      </c>
      <c r="F31" s="1">
        <v>3.56</v>
      </c>
      <c r="G31" s="4">
        <v>0.93</v>
      </c>
      <c r="H31" s="5">
        <v>0.96</v>
      </c>
    </row>
    <row r="32" spans="1:8" hidden="1" x14ac:dyDescent="0.75">
      <c r="A32" s="10" t="s">
        <v>3</v>
      </c>
      <c r="B32" s="10" t="s">
        <v>12</v>
      </c>
      <c r="C32" s="16" t="s">
        <v>18</v>
      </c>
      <c r="D32" s="1">
        <v>8.7200000000000006</v>
      </c>
      <c r="E32" s="5">
        <v>6.72</v>
      </c>
      <c r="F32" s="1">
        <v>3.34</v>
      </c>
      <c r="G32" s="5">
        <v>0.92</v>
      </c>
      <c r="H32" s="5">
        <v>0.95</v>
      </c>
    </row>
    <row r="33" spans="1:8" hidden="1" x14ac:dyDescent="0.75">
      <c r="A33" s="10" t="s">
        <v>3</v>
      </c>
      <c r="B33" s="10" t="s">
        <v>11</v>
      </c>
      <c r="C33" s="16" t="s">
        <v>14</v>
      </c>
      <c r="D33" s="1">
        <v>9.41</v>
      </c>
      <c r="E33" s="5">
        <v>6.58</v>
      </c>
      <c r="F33" s="1">
        <v>3.1</v>
      </c>
      <c r="G33" s="4">
        <v>0.9</v>
      </c>
      <c r="H33" s="8">
        <v>0.95</v>
      </c>
    </row>
    <row r="34" spans="1:8" hidden="1" x14ac:dyDescent="0.75">
      <c r="A34" s="10" t="s">
        <v>3</v>
      </c>
      <c r="B34" s="10" t="s">
        <v>11</v>
      </c>
      <c r="C34" s="16" t="s">
        <v>17</v>
      </c>
      <c r="D34" s="1">
        <v>9.42</v>
      </c>
      <c r="E34" s="5">
        <v>6.57</v>
      </c>
      <c r="F34" s="1">
        <v>3.09</v>
      </c>
      <c r="G34" s="5">
        <v>0.91</v>
      </c>
      <c r="H34" s="5">
        <v>0.95</v>
      </c>
    </row>
    <row r="35" spans="1:8" hidden="1" x14ac:dyDescent="0.75">
      <c r="A35" s="10" t="s">
        <v>3</v>
      </c>
      <c r="B35" s="10" t="s">
        <v>9</v>
      </c>
      <c r="C35" s="16" t="s">
        <v>14</v>
      </c>
      <c r="D35" s="1">
        <v>9.69</v>
      </c>
      <c r="E35" s="5">
        <v>6.45</v>
      </c>
      <c r="F35" s="1">
        <v>3.01</v>
      </c>
      <c r="G35" s="4">
        <v>0.9</v>
      </c>
      <c r="H35" s="8">
        <v>0.95</v>
      </c>
    </row>
    <row r="36" spans="1:8" hidden="1" x14ac:dyDescent="0.75">
      <c r="A36" s="10" t="s">
        <v>3</v>
      </c>
      <c r="B36" s="10" t="s">
        <v>9</v>
      </c>
      <c r="C36" s="16" t="s">
        <v>18</v>
      </c>
      <c r="D36" s="1">
        <v>9.7899999999999991</v>
      </c>
      <c r="E36" s="5">
        <v>6.68</v>
      </c>
      <c r="F36" s="1">
        <v>2.97</v>
      </c>
      <c r="G36" s="5">
        <v>0.9</v>
      </c>
      <c r="H36" s="5">
        <v>0.95</v>
      </c>
    </row>
    <row r="37" spans="1:8" x14ac:dyDescent="0.75">
      <c r="A37" s="10" t="s">
        <v>4</v>
      </c>
      <c r="B37" s="10" t="s">
        <v>8</v>
      </c>
      <c r="C37" s="16" t="s">
        <v>17</v>
      </c>
      <c r="D37" s="1">
        <v>16.399999999999999</v>
      </c>
      <c r="E37" s="5">
        <v>12</v>
      </c>
      <c r="F37" s="1">
        <v>1.78</v>
      </c>
      <c r="G37" s="5">
        <v>0.75</v>
      </c>
      <c r="H37" s="5">
        <v>0.83</v>
      </c>
    </row>
    <row r="38" spans="1:8" hidden="1" x14ac:dyDescent="0.75">
      <c r="A38" s="10" t="s">
        <v>5</v>
      </c>
      <c r="B38" s="10" t="s">
        <v>9</v>
      </c>
      <c r="C38" s="16" t="s">
        <v>17</v>
      </c>
      <c r="D38" s="1">
        <v>12.13</v>
      </c>
      <c r="E38" s="5">
        <v>8.9700000000000006</v>
      </c>
      <c r="F38" s="1">
        <v>2.4</v>
      </c>
      <c r="G38" s="5">
        <v>0.87</v>
      </c>
      <c r="H38" s="5">
        <v>0.9</v>
      </c>
    </row>
    <row r="39" spans="1:8" hidden="1" x14ac:dyDescent="0.75">
      <c r="A39" s="25" t="s">
        <v>5</v>
      </c>
      <c r="B39" s="25" t="s">
        <v>10</v>
      </c>
      <c r="C39" s="26" t="s">
        <v>17</v>
      </c>
      <c r="D39" s="27">
        <v>9.85</v>
      </c>
      <c r="E39" s="28">
        <v>7.58</v>
      </c>
      <c r="F39" s="27">
        <v>2.96</v>
      </c>
      <c r="G39" s="28">
        <v>0.89</v>
      </c>
      <c r="H39" s="28">
        <v>0.93</v>
      </c>
    </row>
    <row r="40" spans="1:8" hidden="1" x14ac:dyDescent="0.75">
      <c r="A40" s="10" t="s">
        <v>5</v>
      </c>
      <c r="B40" s="10" t="s">
        <v>11</v>
      </c>
      <c r="C40" s="16" t="s">
        <v>17</v>
      </c>
      <c r="D40" s="1">
        <v>12.11</v>
      </c>
      <c r="E40" s="5">
        <v>8.7100000000000009</v>
      </c>
      <c r="F40" s="1">
        <v>2.4</v>
      </c>
      <c r="G40" s="5">
        <v>0.88</v>
      </c>
      <c r="H40" s="5">
        <v>0.91</v>
      </c>
    </row>
    <row r="41" spans="1:8" hidden="1" x14ac:dyDescent="0.75">
      <c r="A41" s="11" t="s">
        <v>5</v>
      </c>
      <c r="B41" s="11" t="s">
        <v>12</v>
      </c>
      <c r="C41" s="17" t="s">
        <v>17</v>
      </c>
      <c r="D41" s="6">
        <v>9.51</v>
      </c>
      <c r="E41" s="19">
        <v>7.51</v>
      </c>
      <c r="F41" s="6">
        <v>3.06</v>
      </c>
      <c r="G41" s="19">
        <v>0.9</v>
      </c>
      <c r="H41" s="19">
        <v>0.93</v>
      </c>
    </row>
    <row r="42" spans="1:8" hidden="1" x14ac:dyDescent="0.75">
      <c r="A42" s="10" t="s">
        <v>6</v>
      </c>
      <c r="B42" s="10" t="s">
        <v>12</v>
      </c>
      <c r="C42" s="16" t="s">
        <v>18</v>
      </c>
      <c r="D42" s="1">
        <v>8.68</v>
      </c>
      <c r="E42" s="5">
        <v>6.7</v>
      </c>
      <c r="F42" s="1">
        <v>3.35</v>
      </c>
      <c r="G42" s="5">
        <v>0.92</v>
      </c>
      <c r="H42" s="5">
        <v>0.95</v>
      </c>
    </row>
    <row r="43" spans="1:8" hidden="1" x14ac:dyDescent="0.75">
      <c r="A43" s="10" t="s">
        <v>6</v>
      </c>
      <c r="B43" s="10" t="s">
        <v>9</v>
      </c>
      <c r="C43" s="16" t="s">
        <v>18</v>
      </c>
      <c r="D43" s="1">
        <v>9.6999999999999993</v>
      </c>
      <c r="E43" s="5">
        <v>9.6999999999999993</v>
      </c>
      <c r="F43" s="1">
        <v>3</v>
      </c>
      <c r="G43" s="5">
        <v>0.9</v>
      </c>
      <c r="H43" s="5">
        <v>0.9</v>
      </c>
    </row>
    <row r="44" spans="1:8" hidden="1" x14ac:dyDescent="0.75">
      <c r="A44" s="10" t="s">
        <v>6</v>
      </c>
      <c r="B44" s="10" t="s">
        <v>11</v>
      </c>
      <c r="C44" s="16" t="s">
        <v>14</v>
      </c>
      <c r="D44" s="1">
        <v>9.7100000000000009</v>
      </c>
      <c r="E44" s="5">
        <v>6.58</v>
      </c>
      <c r="F44" s="1">
        <v>3</v>
      </c>
      <c r="G44" s="4">
        <v>0.91</v>
      </c>
      <c r="H44" s="8">
        <v>0.95</v>
      </c>
    </row>
    <row r="45" spans="1:8" hidden="1" x14ac:dyDescent="0.75">
      <c r="A45" s="10" t="s">
        <v>6</v>
      </c>
      <c r="B45" s="10" t="s">
        <v>9</v>
      </c>
      <c r="C45" s="16" t="s">
        <v>14</v>
      </c>
      <c r="D45" s="1">
        <v>9.7899999999999991</v>
      </c>
      <c r="E45" s="5">
        <v>6.42</v>
      </c>
      <c r="F45" s="1">
        <v>2.97</v>
      </c>
      <c r="G45" s="4">
        <v>0.91</v>
      </c>
      <c r="H45" s="8">
        <v>0.95</v>
      </c>
    </row>
    <row r="46" spans="1:8" hidden="1" x14ac:dyDescent="0.75">
      <c r="A46" s="10" t="s">
        <v>6</v>
      </c>
      <c r="B46" s="10" t="s">
        <v>11</v>
      </c>
      <c r="C46" s="16" t="s">
        <v>18</v>
      </c>
      <c r="D46" s="1">
        <v>9.86</v>
      </c>
      <c r="E46" s="5">
        <v>6.57</v>
      </c>
      <c r="F46" s="1">
        <v>2.95</v>
      </c>
      <c r="G46" s="5">
        <v>0.9</v>
      </c>
      <c r="H46" s="5">
        <v>0.95</v>
      </c>
    </row>
    <row r="47" spans="1:8" hidden="1" x14ac:dyDescent="0.75">
      <c r="A47" s="10" t="s">
        <v>7</v>
      </c>
      <c r="B47" s="10" t="s">
        <v>12</v>
      </c>
      <c r="C47" s="16" t="s">
        <v>14</v>
      </c>
      <c r="D47" s="1">
        <v>7.12</v>
      </c>
      <c r="E47" s="5">
        <v>5</v>
      </c>
      <c r="F47" s="1">
        <v>4.09</v>
      </c>
      <c r="G47" s="4">
        <v>0.94</v>
      </c>
      <c r="H47" s="8">
        <v>0.97</v>
      </c>
    </row>
    <row r="48" spans="1:8" hidden="1" x14ac:dyDescent="0.75">
      <c r="A48" s="37" t="s">
        <v>7</v>
      </c>
      <c r="B48" s="37" t="s">
        <v>12</v>
      </c>
      <c r="C48" s="38" t="s">
        <v>17</v>
      </c>
      <c r="D48" s="39">
        <v>5.14</v>
      </c>
      <c r="E48" s="40">
        <v>5.14</v>
      </c>
      <c r="F48" s="39">
        <v>4.0199999999999996</v>
      </c>
      <c r="G48" s="40">
        <v>0.94</v>
      </c>
      <c r="H48" s="40">
        <v>0.97</v>
      </c>
    </row>
    <row r="49" spans="1:8" hidden="1" x14ac:dyDescent="0.75">
      <c r="A49" s="10" t="s">
        <v>7</v>
      </c>
      <c r="B49" s="10" t="s">
        <v>10</v>
      </c>
      <c r="C49" s="16" t="s">
        <v>17</v>
      </c>
      <c r="D49" s="1">
        <v>7.36</v>
      </c>
      <c r="E49" s="5">
        <v>5.26</v>
      </c>
      <c r="F49" s="1">
        <v>3.96</v>
      </c>
      <c r="G49" s="5">
        <v>0.94</v>
      </c>
      <c r="H49" s="5">
        <v>0.97</v>
      </c>
    </row>
    <row r="50" spans="1:8" hidden="1" x14ac:dyDescent="0.75">
      <c r="A50" s="10" t="s">
        <v>7</v>
      </c>
      <c r="B50" s="10" t="s">
        <v>12</v>
      </c>
      <c r="C50" s="16" t="s">
        <v>18</v>
      </c>
      <c r="D50" s="1">
        <v>7.75</v>
      </c>
      <c r="E50" s="5">
        <v>5.78</v>
      </c>
      <c r="F50" s="1">
        <v>3.75</v>
      </c>
      <c r="G50" s="5">
        <v>0.93</v>
      </c>
      <c r="H50" s="5">
        <v>0.96</v>
      </c>
    </row>
    <row r="51" spans="1:8" hidden="1" x14ac:dyDescent="0.75">
      <c r="A51" s="10" t="s">
        <v>7</v>
      </c>
      <c r="B51" s="10" t="s">
        <v>11</v>
      </c>
      <c r="C51" s="16" t="s">
        <v>17</v>
      </c>
      <c r="D51" s="1">
        <v>8.01</v>
      </c>
      <c r="E51" s="5">
        <v>4.75</v>
      </c>
      <c r="F51" s="1">
        <v>3.63</v>
      </c>
      <c r="G51" s="5">
        <v>0.93</v>
      </c>
      <c r="H51" s="5">
        <v>0.97</v>
      </c>
    </row>
    <row r="52" spans="1:8" hidden="1" x14ac:dyDescent="0.75">
      <c r="A52" s="10" t="s">
        <v>2</v>
      </c>
      <c r="B52" s="10" t="s">
        <v>12</v>
      </c>
      <c r="C52" s="16" t="s">
        <v>18</v>
      </c>
      <c r="D52" s="1">
        <v>8.16</v>
      </c>
      <c r="E52" s="5">
        <v>6.11</v>
      </c>
      <c r="F52" s="1">
        <v>3.57</v>
      </c>
      <c r="G52" s="5">
        <v>0.93</v>
      </c>
      <c r="H52" s="5">
        <v>0.96</v>
      </c>
    </row>
    <row r="53" spans="1:8" hidden="1" x14ac:dyDescent="0.75">
      <c r="A53" s="10" t="s">
        <v>2</v>
      </c>
      <c r="B53" s="10" t="s">
        <v>8</v>
      </c>
      <c r="C53" s="16" t="s">
        <v>17</v>
      </c>
      <c r="D53" s="1">
        <v>8.08</v>
      </c>
      <c r="E53" s="5">
        <v>6.1</v>
      </c>
      <c r="F53" s="1">
        <v>3.61</v>
      </c>
      <c r="G53" s="5">
        <v>0.93</v>
      </c>
      <c r="H53" s="5">
        <v>0.96</v>
      </c>
    </row>
    <row r="54" spans="1:8" hidden="1" x14ac:dyDescent="0.75">
      <c r="A54" s="10" t="s">
        <v>2</v>
      </c>
      <c r="B54" s="10" t="s">
        <v>10</v>
      </c>
      <c r="C54" s="16" t="s">
        <v>18</v>
      </c>
      <c r="D54" s="1">
        <v>8.06</v>
      </c>
      <c r="E54" s="5">
        <v>6.42</v>
      </c>
      <c r="F54" s="1">
        <v>3.61</v>
      </c>
      <c r="G54" s="5">
        <v>0.93</v>
      </c>
      <c r="H54" s="5">
        <v>0.95</v>
      </c>
    </row>
    <row r="55" spans="1:8" hidden="1" x14ac:dyDescent="0.75">
      <c r="A55" s="10" t="s">
        <v>2</v>
      </c>
      <c r="B55" s="10" t="s">
        <v>10</v>
      </c>
      <c r="C55" s="16" t="s">
        <v>17</v>
      </c>
      <c r="D55" s="1">
        <v>7.96</v>
      </c>
      <c r="E55" s="5">
        <v>5.76</v>
      </c>
      <c r="F55" s="1">
        <v>3.66</v>
      </c>
      <c r="G55" s="5">
        <v>0.94</v>
      </c>
      <c r="H55" s="5">
        <v>0.96</v>
      </c>
    </row>
    <row r="56" spans="1:8" hidden="1" x14ac:dyDescent="0.75">
      <c r="A56" s="10" t="s">
        <v>2</v>
      </c>
      <c r="B56" s="10" t="s">
        <v>10</v>
      </c>
      <c r="C56" s="16" t="s">
        <v>14</v>
      </c>
      <c r="D56" s="6">
        <v>7.7</v>
      </c>
      <c r="E56" s="5">
        <v>6.57</v>
      </c>
      <c r="F56" s="6">
        <v>3.78</v>
      </c>
      <c r="G56" s="7">
        <v>0.94</v>
      </c>
      <c r="H56" s="5">
        <v>0.95</v>
      </c>
    </row>
    <row r="57" spans="1:8" hidden="1" x14ac:dyDescent="0.75">
      <c r="A57" s="10" t="s">
        <v>3</v>
      </c>
      <c r="B57" s="10" t="s">
        <v>8</v>
      </c>
      <c r="C57" s="16" t="s">
        <v>17</v>
      </c>
      <c r="D57" s="1">
        <v>10.199999999999999</v>
      </c>
      <c r="E57" s="5">
        <v>8.3800000000000008</v>
      </c>
      <c r="F57" s="1">
        <v>2.86</v>
      </c>
      <c r="G57" s="5">
        <v>0.9</v>
      </c>
      <c r="H57" s="5">
        <v>0.92</v>
      </c>
    </row>
    <row r="58" spans="1:8" hidden="1" x14ac:dyDescent="0.75">
      <c r="A58" s="10" t="s">
        <v>3</v>
      </c>
      <c r="B58" s="10" t="s">
        <v>11</v>
      </c>
      <c r="C58" s="16" t="s">
        <v>18</v>
      </c>
      <c r="D58" s="1">
        <v>10.31</v>
      </c>
      <c r="E58" s="5">
        <v>6.58</v>
      </c>
      <c r="F58" s="1">
        <v>2.82</v>
      </c>
      <c r="G58" s="5">
        <v>0.9</v>
      </c>
      <c r="H58" s="5">
        <v>0.95</v>
      </c>
    </row>
    <row r="59" spans="1:8" hidden="1" x14ac:dyDescent="0.75">
      <c r="A59" s="10" t="s">
        <v>3</v>
      </c>
      <c r="B59" s="10" t="s">
        <v>9</v>
      </c>
      <c r="C59" s="16" t="s">
        <v>17</v>
      </c>
      <c r="D59" s="1">
        <v>10.43</v>
      </c>
      <c r="E59" s="5">
        <v>6.47</v>
      </c>
      <c r="F59" s="1">
        <v>2.79</v>
      </c>
      <c r="G59" s="5">
        <v>0.89</v>
      </c>
      <c r="H59" s="5">
        <v>0.95</v>
      </c>
    </row>
    <row r="60" spans="1:8" hidden="1" x14ac:dyDescent="0.75">
      <c r="A60" s="10" t="s">
        <v>3</v>
      </c>
      <c r="B60" s="10" t="s">
        <v>8</v>
      </c>
      <c r="C60" s="16" t="s">
        <v>18</v>
      </c>
      <c r="D60" s="1">
        <v>11.54</v>
      </c>
      <c r="E60" s="5">
        <v>8.85</v>
      </c>
      <c r="F60" s="1">
        <v>2.52</v>
      </c>
      <c r="G60" s="5">
        <v>0.88</v>
      </c>
      <c r="H60" s="5">
        <v>0.91</v>
      </c>
    </row>
    <row r="61" spans="1:8" hidden="1" x14ac:dyDescent="0.75">
      <c r="A61" s="10" t="s">
        <v>3</v>
      </c>
      <c r="B61" s="10" t="s">
        <v>8</v>
      </c>
      <c r="C61" s="16" t="s">
        <v>14</v>
      </c>
      <c r="D61" s="1">
        <v>11.58</v>
      </c>
      <c r="E61" s="5">
        <v>8.51</v>
      </c>
      <c r="F61" s="1">
        <v>2.5099999999999998</v>
      </c>
      <c r="G61" s="4">
        <v>0.88</v>
      </c>
      <c r="H61" s="8">
        <v>0.91</v>
      </c>
    </row>
    <row r="62" spans="1:8" x14ac:dyDescent="0.75">
      <c r="A62" s="20" t="s">
        <v>4</v>
      </c>
      <c r="B62" s="20" t="s">
        <v>8</v>
      </c>
      <c r="C62" s="21" t="s">
        <v>18</v>
      </c>
      <c r="D62" s="22">
        <v>17.309999999999999</v>
      </c>
      <c r="E62" s="23">
        <v>12.87</v>
      </c>
      <c r="F62" s="22">
        <v>1.68</v>
      </c>
      <c r="G62" s="23">
        <v>0.72</v>
      </c>
      <c r="H62" s="23">
        <v>0.8</v>
      </c>
    </row>
    <row r="63" spans="1:8" hidden="1" x14ac:dyDescent="0.75">
      <c r="A63" s="10" t="s">
        <v>5</v>
      </c>
      <c r="B63" s="10" t="s">
        <v>9</v>
      </c>
      <c r="C63" s="16" t="s">
        <v>18</v>
      </c>
      <c r="D63" s="1">
        <v>13.98</v>
      </c>
      <c r="E63" s="5">
        <v>9.99</v>
      </c>
      <c r="F63" s="1">
        <v>2.08</v>
      </c>
      <c r="G63" s="5">
        <v>0.83</v>
      </c>
      <c r="H63" s="5">
        <v>0.88</v>
      </c>
    </row>
    <row r="64" spans="1:8" hidden="1" x14ac:dyDescent="0.75">
      <c r="A64" s="25" t="s">
        <v>5</v>
      </c>
      <c r="B64" s="25" t="s">
        <v>10</v>
      </c>
      <c r="C64" s="26" t="s">
        <v>18</v>
      </c>
      <c r="D64" s="27">
        <v>11.6</v>
      </c>
      <c r="E64" s="28">
        <v>8.85</v>
      </c>
      <c r="F64" s="27">
        <v>2.5099999999999998</v>
      </c>
      <c r="G64" s="28">
        <v>0.85</v>
      </c>
      <c r="H64" s="28">
        <v>0.91</v>
      </c>
    </row>
    <row r="65" spans="1:8" hidden="1" x14ac:dyDescent="0.75">
      <c r="A65" s="10" t="s">
        <v>5</v>
      </c>
      <c r="B65" s="10" t="s">
        <v>11</v>
      </c>
      <c r="C65" s="16" t="s">
        <v>18</v>
      </c>
      <c r="D65" s="1">
        <v>13.73</v>
      </c>
      <c r="E65" s="5">
        <v>9.8800000000000008</v>
      </c>
      <c r="F65" s="1">
        <v>2.12</v>
      </c>
      <c r="G65" s="5">
        <v>0.84</v>
      </c>
      <c r="H65" s="5">
        <v>0.88</v>
      </c>
    </row>
    <row r="66" spans="1:8" hidden="1" x14ac:dyDescent="0.75">
      <c r="A66" s="10" t="s">
        <v>5</v>
      </c>
      <c r="B66" s="10" t="s">
        <v>12</v>
      </c>
      <c r="C66" s="16" t="s">
        <v>18</v>
      </c>
      <c r="D66" s="1">
        <v>11.67</v>
      </c>
      <c r="E66" s="5">
        <v>8.43</v>
      </c>
      <c r="F66" s="1">
        <v>2.4900000000000002</v>
      </c>
      <c r="G66" s="5">
        <v>0.87</v>
      </c>
      <c r="H66" s="5">
        <v>0.92</v>
      </c>
    </row>
    <row r="67" spans="1:8" hidden="1" x14ac:dyDescent="0.75">
      <c r="A67" s="10" t="s">
        <v>6</v>
      </c>
      <c r="B67" s="10" t="s">
        <v>11</v>
      </c>
      <c r="C67" s="16" t="s">
        <v>17</v>
      </c>
      <c r="D67" s="1">
        <v>9.9600000000000009</v>
      </c>
      <c r="E67" s="5">
        <v>9.9600000000000009</v>
      </c>
      <c r="F67" s="1">
        <v>2.92</v>
      </c>
      <c r="G67" s="5">
        <v>0.9</v>
      </c>
      <c r="H67" s="5">
        <v>0.9</v>
      </c>
    </row>
    <row r="68" spans="1:8" hidden="1" x14ac:dyDescent="0.75">
      <c r="A68" s="10" t="s">
        <v>6</v>
      </c>
      <c r="B68" s="10" t="s">
        <v>9</v>
      </c>
      <c r="C68" s="16" t="s">
        <v>17</v>
      </c>
      <c r="D68" s="1">
        <v>10.14</v>
      </c>
      <c r="E68" s="5">
        <v>6.43</v>
      </c>
      <c r="F68" s="1">
        <v>2.87</v>
      </c>
      <c r="G68" s="5">
        <v>0.9</v>
      </c>
      <c r="H68" s="5">
        <v>0.95</v>
      </c>
    </row>
    <row r="69" spans="1:8" hidden="1" x14ac:dyDescent="0.75">
      <c r="A69" s="31" t="s">
        <v>6</v>
      </c>
      <c r="B69" s="31" t="s">
        <v>8</v>
      </c>
      <c r="C69" s="32" t="s">
        <v>14</v>
      </c>
      <c r="D69" s="33">
        <v>10.3</v>
      </c>
      <c r="E69" s="34">
        <v>8.0399999999999991</v>
      </c>
      <c r="F69" s="33">
        <v>2.83</v>
      </c>
      <c r="G69" s="35">
        <v>0.9</v>
      </c>
      <c r="H69" s="36">
        <v>0.92</v>
      </c>
    </row>
    <row r="70" spans="1:8" hidden="1" x14ac:dyDescent="0.75">
      <c r="A70" s="31" t="s">
        <v>6</v>
      </c>
      <c r="B70" s="31" t="s">
        <v>8</v>
      </c>
      <c r="C70" s="32" t="s">
        <v>17</v>
      </c>
      <c r="D70" s="33">
        <v>10.52</v>
      </c>
      <c r="E70" s="34">
        <v>8.11</v>
      </c>
      <c r="F70" s="33">
        <v>2.77</v>
      </c>
      <c r="G70" s="34">
        <v>0.89</v>
      </c>
      <c r="H70" s="34">
        <v>0.92</v>
      </c>
    </row>
    <row r="71" spans="1:8" hidden="1" x14ac:dyDescent="0.75">
      <c r="A71" s="31" t="s">
        <v>6</v>
      </c>
      <c r="B71" s="31" t="s">
        <v>8</v>
      </c>
      <c r="C71" s="32" t="s">
        <v>18</v>
      </c>
      <c r="D71" s="33">
        <v>11.33</v>
      </c>
      <c r="E71" s="34">
        <v>8.3800000000000008</v>
      </c>
      <c r="F71" s="33">
        <v>2.57</v>
      </c>
      <c r="G71" s="34">
        <v>0.88</v>
      </c>
      <c r="H71" s="34">
        <v>0.92</v>
      </c>
    </row>
    <row r="72" spans="1:8" hidden="1" x14ac:dyDescent="0.75">
      <c r="A72" s="10" t="s">
        <v>7</v>
      </c>
      <c r="B72" s="10" t="s">
        <v>11</v>
      </c>
      <c r="C72" s="16" t="s">
        <v>14</v>
      </c>
      <c r="D72" s="1">
        <v>8.49</v>
      </c>
      <c r="E72" s="5">
        <v>4.71</v>
      </c>
      <c r="F72" s="1">
        <v>3.43</v>
      </c>
      <c r="G72" s="4">
        <v>0.97</v>
      </c>
      <c r="H72" s="8">
        <v>0.97</v>
      </c>
    </row>
    <row r="73" spans="1:8" hidden="1" x14ac:dyDescent="0.75">
      <c r="A73" s="10" t="s">
        <v>7</v>
      </c>
      <c r="B73" s="10" t="s">
        <v>9</v>
      </c>
      <c r="C73" s="16" t="s">
        <v>14</v>
      </c>
      <c r="D73" s="1">
        <v>8.51</v>
      </c>
      <c r="E73" s="5">
        <v>4.9000000000000004</v>
      </c>
      <c r="F73" s="1">
        <v>3.42</v>
      </c>
      <c r="G73" s="4">
        <v>0.92</v>
      </c>
      <c r="H73" s="8">
        <v>0.97</v>
      </c>
    </row>
    <row r="74" spans="1:8" hidden="1" x14ac:dyDescent="0.75">
      <c r="A74" s="10" t="s">
        <v>7</v>
      </c>
      <c r="B74" s="10" t="s">
        <v>9</v>
      </c>
      <c r="C74" s="16" t="s">
        <v>17</v>
      </c>
      <c r="D74" s="1">
        <v>8.51</v>
      </c>
      <c r="E74" s="5">
        <v>4.7699999999999996</v>
      </c>
      <c r="F74" s="1">
        <v>3.42</v>
      </c>
      <c r="G74" s="5">
        <v>0.92</v>
      </c>
      <c r="H74" s="5">
        <v>0.97</v>
      </c>
    </row>
    <row r="75" spans="1:8" hidden="1" x14ac:dyDescent="0.75">
      <c r="A75" s="10" t="s">
        <v>7</v>
      </c>
      <c r="B75" s="10" t="s">
        <v>9</v>
      </c>
      <c r="C75" s="16" t="s">
        <v>18</v>
      </c>
      <c r="D75" s="1">
        <v>8.9</v>
      </c>
      <c r="E75" s="5">
        <v>5.48</v>
      </c>
      <c r="F75" s="1">
        <v>3.27</v>
      </c>
      <c r="G75" s="5">
        <v>0.91</v>
      </c>
      <c r="H75" s="5">
        <v>0.96</v>
      </c>
    </row>
    <row r="76" spans="1:8" hidden="1" x14ac:dyDescent="0.75">
      <c r="A76" s="10" t="s">
        <v>7</v>
      </c>
      <c r="B76" s="10" t="s">
        <v>11</v>
      </c>
      <c r="C76" s="16" t="s">
        <v>18</v>
      </c>
      <c r="D76" s="1">
        <v>9</v>
      </c>
      <c r="E76" s="5">
        <v>5.0599999999999996</v>
      </c>
      <c r="F76" s="1">
        <v>3.23</v>
      </c>
      <c r="G76" s="5">
        <v>0.91</v>
      </c>
      <c r="H76" s="5">
        <v>0.97</v>
      </c>
    </row>
    <row r="77" spans="1:8" x14ac:dyDescent="0.75">
      <c r="A77" s="10" t="s">
        <v>19</v>
      </c>
      <c r="B77" s="10"/>
      <c r="C77" s="16"/>
      <c r="D77" s="1">
        <f>SUBTOTAL(104,Table2[RMSEP])</f>
        <v>17.309999999999999</v>
      </c>
      <c r="E77" s="1">
        <f>SUBTOTAL(104,Table2[RMSECV])</f>
        <v>12.87</v>
      </c>
      <c r="F77" s="1">
        <f>SUBTOTAL(104,Table2[RPD])</f>
        <v>1.78</v>
      </c>
      <c r="G77" s="1">
        <f>SUBTOTAL(104,Table2[R_Squared ])</f>
        <v>0.75</v>
      </c>
      <c r="H77" s="1">
        <f>SUBTOTAL(104,Table2[R2CV])</f>
        <v>0.83</v>
      </c>
    </row>
    <row r="78" spans="1:8" x14ac:dyDescent="0.75">
      <c r="A78" s="12"/>
      <c r="B78" s="12"/>
    </row>
    <row r="79" spans="1:8" x14ac:dyDescent="0.75">
      <c r="A79" s="12"/>
      <c r="B79" s="12"/>
    </row>
    <row r="80" spans="1:8" x14ac:dyDescent="0.75">
      <c r="A80" s="12"/>
      <c r="B80" s="12"/>
    </row>
    <row r="81" spans="1:2" x14ac:dyDescent="0.75">
      <c r="A81" s="12"/>
      <c r="B81" s="12"/>
    </row>
    <row r="82" spans="1:2" x14ac:dyDescent="0.75">
      <c r="A82" s="12"/>
      <c r="B82" s="12"/>
    </row>
    <row r="83" spans="1:2" x14ac:dyDescent="0.75">
      <c r="A83" s="12"/>
      <c r="B83" s="12"/>
    </row>
    <row r="84" spans="1:2" x14ac:dyDescent="0.75">
      <c r="A84" s="12"/>
      <c r="B84" s="12"/>
    </row>
    <row r="85" spans="1:2" x14ac:dyDescent="0.75">
      <c r="A85" s="12"/>
      <c r="B85" s="12"/>
    </row>
    <row r="86" spans="1:2" x14ac:dyDescent="0.75">
      <c r="A86" s="12"/>
      <c r="B86" s="12"/>
    </row>
    <row r="87" spans="1:2" x14ac:dyDescent="0.75">
      <c r="A87" s="12"/>
      <c r="B87" s="12"/>
    </row>
    <row r="88" spans="1:2" x14ac:dyDescent="0.75">
      <c r="A88" s="12"/>
      <c r="B88" s="12"/>
    </row>
    <row r="89" spans="1:2" x14ac:dyDescent="0.75">
      <c r="A89" s="12"/>
      <c r="B89" s="12"/>
    </row>
    <row r="90" spans="1:2" x14ac:dyDescent="0.75">
      <c r="A90" s="12"/>
      <c r="B90" s="12"/>
    </row>
    <row r="91" spans="1:2" x14ac:dyDescent="0.75">
      <c r="A91" s="12"/>
      <c r="B91" s="12"/>
    </row>
    <row r="92" spans="1:2" x14ac:dyDescent="0.75">
      <c r="A92" s="12"/>
      <c r="B92" s="12"/>
    </row>
    <row r="93" spans="1:2" x14ac:dyDescent="0.75">
      <c r="A93" s="12"/>
      <c r="B93" s="12"/>
    </row>
    <row r="94" spans="1:2" x14ac:dyDescent="0.75">
      <c r="A94" s="12"/>
      <c r="B94" s="12"/>
    </row>
    <row r="95" spans="1:2" x14ac:dyDescent="0.75">
      <c r="A95" s="12"/>
      <c r="B95" s="12"/>
    </row>
    <row r="96" spans="1:2" x14ac:dyDescent="0.75">
      <c r="A96" s="12"/>
      <c r="B96" s="12"/>
    </row>
    <row r="97" spans="1:2" x14ac:dyDescent="0.75">
      <c r="A97" s="12"/>
      <c r="B97" s="12"/>
    </row>
    <row r="98" spans="1:2" x14ac:dyDescent="0.75">
      <c r="A98" s="12"/>
      <c r="B98" s="12"/>
    </row>
    <row r="99" spans="1:2" x14ac:dyDescent="0.75">
      <c r="A99" s="12"/>
      <c r="B99" s="12"/>
    </row>
    <row r="100" spans="1:2" x14ac:dyDescent="0.75">
      <c r="A100" s="12"/>
      <c r="B100" s="12"/>
    </row>
    <row r="101" spans="1:2" x14ac:dyDescent="0.75">
      <c r="A101" s="12"/>
      <c r="B101" s="12"/>
    </row>
    <row r="102" spans="1:2" ht="15.5" thickBot="1" x14ac:dyDescent="0.9">
      <c r="A102" s="13"/>
      <c r="B102" s="13"/>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57DB90CFC4444E93D4A3B703BF5E78" ma:contentTypeVersion="16" ma:contentTypeDescription="Een nieuw document maken." ma:contentTypeScope="" ma:versionID="21a0179a929ef48d76dde08382c6139e">
  <xsd:schema xmlns:xsd="http://www.w3.org/2001/XMLSchema" xmlns:xs="http://www.w3.org/2001/XMLSchema" xmlns:p="http://schemas.microsoft.com/office/2006/metadata/properties" xmlns:ns3="09699fdf-921b-48f3-a92f-ef58895a3eef" xmlns:ns4="d9a60bd6-c0d1-498c-a7a6-d6eadcc047ff" targetNamespace="http://schemas.microsoft.com/office/2006/metadata/properties" ma:root="true" ma:fieldsID="5067653e426dd6269abab96e9e921708" ns3:_="" ns4:_="">
    <xsd:import namespace="09699fdf-921b-48f3-a92f-ef58895a3eef"/>
    <xsd:import namespace="d9a60bd6-c0d1-498c-a7a6-d6eadcc047f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699fdf-921b-48f3-a92f-ef58895a3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a60bd6-c0d1-498c-a7a6-d6eadcc047ff"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9699fdf-921b-48f3-a92f-ef58895a3eef" xsi:nil="true"/>
  </documentManagement>
</p:properties>
</file>

<file path=customXml/itemProps1.xml><?xml version="1.0" encoding="utf-8"?>
<ds:datastoreItem xmlns:ds="http://schemas.openxmlformats.org/officeDocument/2006/customXml" ds:itemID="{20F8FB79-B5AD-4F60-87ED-B09BE3CC36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699fdf-921b-48f3-a92f-ef58895a3eef"/>
    <ds:schemaRef ds:uri="d9a60bd6-c0d1-498c-a7a6-d6eadcc047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B1A74F-846F-4622-833E-097EB5FC80D5}">
  <ds:schemaRefs>
    <ds:schemaRef ds:uri="http://schemas.microsoft.com/sharepoint/v3/contenttype/forms"/>
  </ds:schemaRefs>
</ds:datastoreItem>
</file>

<file path=customXml/itemProps3.xml><?xml version="1.0" encoding="utf-8"?>
<ds:datastoreItem xmlns:ds="http://schemas.openxmlformats.org/officeDocument/2006/customXml" ds:itemID="{F3CBF4AE-04FE-4A21-A6C7-1DCB83754921}">
  <ds:schemaRefs>
    <ds:schemaRef ds:uri="http://www.w3.org/XML/1998/namespace"/>
    <ds:schemaRef ds:uri="http://purl.org/dc/terms/"/>
    <ds:schemaRef ds:uri="http://purl.org/dc/elements/1.1/"/>
    <ds:schemaRef ds:uri="09699fdf-921b-48f3-a92f-ef58895a3eef"/>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d9a60bd6-c0d1-498c-a7a6-d6eadcc047f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Derick Malavi</dc:creator>
  <cp:lastModifiedBy>Derick Malavi</cp:lastModifiedBy>
  <dcterms:created xsi:type="dcterms:W3CDTF">2024-12-23T05:27:54Z</dcterms:created>
  <dcterms:modified xsi:type="dcterms:W3CDTF">2025-05-20T06:07:39Z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0x010100D157DB90CFC4444E93D4A3B703BF5E78</vt:lpwstr>
  </property>
</Properties>
</file>