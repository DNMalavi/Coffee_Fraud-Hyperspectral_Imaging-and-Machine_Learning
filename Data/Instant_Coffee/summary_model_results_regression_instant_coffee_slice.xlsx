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gentbe-my.sharepoint.com/personal/derick_malavi_ugent_be/Documents/Documenten/Derick Malavi_PhD Docs_UGent/Manuscript 4_Coffee/Instant_Coffee/Inference_stats_summary_regression/"/>
    </mc:Choice>
  </mc:AlternateContent>
  <xr:revisionPtr revIDLastSave="20" documentId="8_{35903730-6B58-48E8-9F2F-DC8A2386A7B9}" xr6:coauthVersionLast="47" xr6:coauthVersionMax="47" xr10:uidLastSave="{BD6D7B71-7D19-479C-A659-BA74BE4B43B5}"/>
  <bookViews>
    <workbookView minimized="1" xWindow="1800" yWindow="1800" windowWidth="14400" windowHeight="6920" xr2:uid="{00000000-000D-0000-FFFF-FFFF00000000}"/>
  </bookViews>
  <sheets>
    <sheet name="Sheet1" sheetId="1" r:id="rId1"/>
    <sheet name="Sheet2" sheetId="2" r:id="rId2"/>
  </sheets>
  <definedNames>
    <definedName name="Slicer_Model">#N/A</definedName>
    <definedName name="Slicer_Pre_processing">#N/A</definedName>
    <definedName name="Slicer_Variable_Selec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1" l="1"/>
  <c r="F77" i="1"/>
  <c r="G77" i="1"/>
  <c r="D77" i="1"/>
  <c r="A77" i="1"/>
</calcChain>
</file>

<file path=xl/sharedStrings.xml><?xml version="1.0" encoding="utf-8"?>
<sst xmlns="http://schemas.openxmlformats.org/spreadsheetml/2006/main" count="232" uniqueCount="21">
  <si>
    <t>Model</t>
  </si>
  <si>
    <t>Pre_processing</t>
  </si>
  <si>
    <t>PLS</t>
  </si>
  <si>
    <t>LASSO</t>
  </si>
  <si>
    <t xml:space="preserve">Ridge </t>
  </si>
  <si>
    <t>Ridge</t>
  </si>
  <si>
    <t>Elastic Net</t>
  </si>
  <si>
    <t>Ensemble</t>
  </si>
  <si>
    <t>Unprocessed</t>
  </si>
  <si>
    <t>SNV+SG+1D</t>
  </si>
  <si>
    <t>SNV+SG+2D</t>
  </si>
  <si>
    <t>MSC+SG+1D</t>
  </si>
  <si>
    <t>MSC+SG+2D</t>
  </si>
  <si>
    <t>Variable_Selection</t>
  </si>
  <si>
    <t xml:space="preserve">None </t>
  </si>
  <si>
    <t>RMSEP</t>
  </si>
  <si>
    <t>RPD</t>
  </si>
  <si>
    <t>Boruta</t>
  </si>
  <si>
    <t>Genetic_Algorithm</t>
  </si>
  <si>
    <t>Training_Time</t>
  </si>
  <si>
    <t>R_squared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</si>
</sst>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1" fillId="0" borderId="0" xfId="0" applyFont="1"/>
    <xf numFmtId="0" fontId="1" fillId="0" borderId="1" xfId="0" applyFont="1" applyBorder="1" applyAlignment="1">
      <alignment horizontal="left" vertical="center" wrapText="1"/>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center"/>
    </xf>
  </cellXfs>
  <cellStyles count="1">
    <cellStyle name="Normal" xfId="0" builtinId="0"/>
  </cellStyles>
  <dxfs count="15">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3.xml"/><Relationship Id="rId10" Type="http://schemas.openxmlformats.org/officeDocument/2006/relationships/customXml" Target="../customXml/item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209550</xdr:colOff>
      <xdr:row>0</xdr:row>
      <xdr:rowOff>76200</xdr:rowOff>
    </xdr:from>
    <xdr:to>
      <xdr:col>8</xdr:col>
      <xdr:colOff>952500</xdr:colOff>
      <xdr:row>70</xdr:row>
      <xdr:rowOff>28575</xdr:rowOff>
    </xdr:to>
    <mc:AlternateContent xmlns:mc="http://schemas.openxmlformats.org/markup-compatibility/2006" xmlns:sle15="http://schemas.microsoft.com/office/drawing/2012/slicer">
      <mc:Choice Requires="sle15">
        <xdr:graphicFrame macro="">
          <xdr:nvGraphicFramePr>
            <xdr:cNvPr id="2" name="Model">
              <a:extLst>
                <a:ext uri="{FF2B5EF4-FFF2-40B4-BE49-F238E27FC236}">
                  <a16:creationId xmlns:a16="http://schemas.microsoft.com/office/drawing/2014/main" id="{112E74D1-DA59-6B3C-1E38-57F6ACA3539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7943850"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66675</xdr:colOff>
      <xdr:row>0</xdr:row>
      <xdr:rowOff>66675</xdr:rowOff>
    </xdr:from>
    <xdr:to>
      <xdr:col>10</xdr:col>
      <xdr:colOff>809625</xdr:colOff>
      <xdr:row>70</xdr:row>
      <xdr:rowOff>19050</xdr:rowOff>
    </xdr:to>
    <mc:AlternateContent xmlns:mc="http://schemas.openxmlformats.org/markup-compatibility/2006" xmlns:sle15="http://schemas.microsoft.com/office/drawing/2012/slicer">
      <mc:Choice Requires="sle15">
        <xdr:graphicFrame macro="">
          <xdr:nvGraphicFramePr>
            <xdr:cNvPr id="3" name="Pre_processing">
              <a:extLst>
                <a:ext uri="{FF2B5EF4-FFF2-40B4-BE49-F238E27FC236}">
                  <a16:creationId xmlns:a16="http://schemas.microsoft.com/office/drawing/2014/main" id="{BE67FC16-3910-1622-2E3C-87BAEDFF726A}"/>
                </a:ext>
              </a:extLst>
            </xdr:cNvPr>
            <xdr:cNvGraphicFramePr/>
          </xdr:nvGraphicFramePr>
          <xdr:xfrm>
            <a:off x="0" y="0"/>
            <a:ext cx="0" cy="0"/>
          </xdr:xfrm>
          <a:graphic>
            <a:graphicData uri="http://schemas.microsoft.com/office/drawing/2010/slicer">
              <sle:slicer xmlns:sle="http://schemas.microsoft.com/office/drawing/2010/slicer" name="Pre_processing"/>
            </a:graphicData>
          </a:graphic>
        </xdr:graphicFrame>
      </mc:Choice>
      <mc:Fallback xmlns="">
        <xdr:sp macro="" textlink="">
          <xdr:nvSpPr>
            <xdr:cNvPr id="0" name=""/>
            <xdr:cNvSpPr>
              <a:spLocks noTextEdit="1"/>
            </xdr:cNvSpPr>
          </xdr:nvSpPr>
          <xdr:spPr>
            <a:xfrm>
              <a:off x="9972675" y="66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923925</xdr:colOff>
      <xdr:row>0</xdr:row>
      <xdr:rowOff>57150</xdr:rowOff>
    </xdr:from>
    <xdr:to>
      <xdr:col>12</xdr:col>
      <xdr:colOff>581025</xdr:colOff>
      <xdr:row>70</xdr:row>
      <xdr:rowOff>9525</xdr:rowOff>
    </xdr:to>
    <mc:AlternateContent xmlns:mc="http://schemas.openxmlformats.org/markup-compatibility/2006" xmlns:sle15="http://schemas.microsoft.com/office/drawing/2012/slicer">
      <mc:Choice Requires="sle15">
        <xdr:graphicFrame macro="">
          <xdr:nvGraphicFramePr>
            <xdr:cNvPr id="7" name="Variable_Selection">
              <a:extLst>
                <a:ext uri="{FF2B5EF4-FFF2-40B4-BE49-F238E27FC236}">
                  <a16:creationId xmlns:a16="http://schemas.microsoft.com/office/drawing/2014/main" id="{FEC030DD-1C2D-79C5-ADD3-95CC1A81CC55}"/>
                </a:ext>
              </a:extLst>
            </xdr:cNvPr>
            <xdr:cNvGraphicFramePr/>
          </xdr:nvGraphicFramePr>
          <xdr:xfrm>
            <a:off x="0" y="0"/>
            <a:ext cx="0" cy="0"/>
          </xdr:xfrm>
          <a:graphic>
            <a:graphicData uri="http://schemas.microsoft.com/office/drawing/2010/slicer">
              <sle:slicer xmlns:sle="http://schemas.microsoft.com/office/drawing/2010/slicer" name="Variable_Selection"/>
            </a:graphicData>
          </a:graphic>
        </xdr:graphicFrame>
      </mc:Choice>
      <mc:Fallback xmlns="">
        <xdr:sp macro="" textlink="">
          <xdr:nvSpPr>
            <xdr:cNvPr id="0" name=""/>
            <xdr:cNvSpPr>
              <a:spLocks noTextEdit="1"/>
            </xdr:cNvSpPr>
          </xdr:nvSpPr>
          <xdr:spPr>
            <a:xfrm>
              <a:off x="11915775"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76CE9A90-31E3-40F0-8674-56B8B32445FA}" sourceName="Model">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_processing" xr10:uid="{07AB1CB3-3241-4790-9165-12482F6E064B}" sourceName="Pre_processing">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ble_Selection" xr10:uid="{79F112A7-6B5B-46BB-92A6-2DE61D0D7342}" sourceName="Variable_Select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D911F584-DF17-4BCC-8A53-4C9E93D61F07}" cache="Slicer_Model" caption="Model" rowHeight="241300"/>
  <slicer name="Pre_processing" xr10:uid="{65ED9A3A-B646-426C-A988-AF58418FD8BD}" cache="Slicer_Pre_processing" caption="Pre_processing" rowHeight="241300"/>
  <slicer name="Variable_Selection" xr10:uid="{81E08DD5-564A-43F9-8F73-F02D2BFFF3D6}" cache="Slicer_Variable_Selection" caption="Variable_Sele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076EE-4B77-4DF3-A988-9D713DF30334}" name="Table1" displayName="Table1" ref="A1:G77" totalsRowCount="1" headerRowDxfId="14">
  <autoFilter ref="A1:G76" xr:uid="{AFD076EE-4B77-4DF3-A988-9D713DF30334}">
    <filterColumn colId="1">
      <filters>
        <filter val="Unprocessed"/>
      </filters>
    </filterColumn>
  </autoFilter>
  <sortState xmlns:xlrd2="http://schemas.microsoft.com/office/spreadsheetml/2017/richdata2" ref="A22:G76">
    <sortCondition descending="1" ref="F1:F76"/>
  </sortState>
  <tableColumns count="7">
    <tableColumn id="1" xr3:uid="{3C12C25E-670B-4D21-A2C2-DC588DDE8756}" name="Model" totalsRowFunction="max" dataDxfId="13" totalsRowDxfId="6"/>
    <tableColumn id="2" xr3:uid="{8B03C5AD-D23E-4201-9137-E4E9D03F9C13}" name="Pre_processing" dataDxfId="12" totalsRowDxfId="5"/>
    <tableColumn id="3" xr3:uid="{05C5B623-B83F-4DFB-BE53-EE23345DAC4D}" name="Variable_Selection" dataDxfId="11" totalsRowDxfId="4"/>
    <tableColumn id="7" xr3:uid="{47726353-9340-4CBA-A4B2-B44C36A50794}" name="R_squared" totalsRowFunction="average" dataDxfId="10" totalsRowDxfId="3"/>
    <tableColumn id="4" xr3:uid="{BE85BDDE-DB7A-4A85-B3DA-E77E59B4BC1E}" name="RMSEP" totalsRowFunction="average" dataDxfId="9" totalsRowDxfId="2"/>
    <tableColumn id="5" xr3:uid="{909C37FD-C700-4EBC-A35A-D22430649AC4}" name="RPD" totalsRowFunction="average" dataDxfId="8" totalsRowDxfId="1"/>
    <tableColumn id="6" xr3:uid="{3799C64A-2612-4977-98FD-6155F3ECEDD8}" name="Training_Time" totalsRowFunction="average" dataDxfId="7"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pane ySplit="1" topLeftCell="A5" activePane="bottomLeft" state="frozen"/>
      <selection pane="bottomLeft" activeCell="F7" sqref="F7:F52"/>
    </sheetView>
  </sheetViews>
  <sheetFormatPr defaultColWidth="15.58984375" defaultRowHeight="13.5" x14ac:dyDescent="0.7"/>
  <cols>
    <col min="1" max="1" width="15.58984375" style="8"/>
    <col min="2" max="2" width="15.58984375" style="9"/>
    <col min="3" max="4" width="16.5" style="1" customWidth="1"/>
    <col min="5" max="6" width="15.58984375" style="1"/>
    <col min="7" max="7" width="15.58984375" style="10"/>
    <col min="8" max="16384" width="15.58984375" style="6"/>
  </cols>
  <sheetData>
    <row r="1" spans="1:7" x14ac:dyDescent="0.7">
      <c r="A1" s="4" t="s">
        <v>0</v>
      </c>
      <c r="B1" s="4" t="s">
        <v>1</v>
      </c>
      <c r="C1" s="2" t="s">
        <v>13</v>
      </c>
      <c r="D1" s="2" t="s">
        <v>20</v>
      </c>
      <c r="E1" s="2" t="s">
        <v>15</v>
      </c>
      <c r="F1" s="2" t="s">
        <v>16</v>
      </c>
      <c r="G1" s="2" t="s">
        <v>19</v>
      </c>
    </row>
    <row r="2" spans="1:7" x14ac:dyDescent="0.7">
      <c r="A2" s="5" t="s">
        <v>2</v>
      </c>
      <c r="B2" s="5" t="s">
        <v>8</v>
      </c>
      <c r="C2" s="1" t="s">
        <v>14</v>
      </c>
      <c r="D2" s="1">
        <v>0.94</v>
      </c>
      <c r="E2" s="1">
        <v>9.1999999999999993</v>
      </c>
      <c r="F2" s="1">
        <v>3.17</v>
      </c>
      <c r="G2" s="10">
        <v>20.8</v>
      </c>
    </row>
    <row r="3" spans="1:7" hidden="1" x14ac:dyDescent="0.7">
      <c r="A3" s="5" t="s">
        <v>2</v>
      </c>
      <c r="B3" s="5" t="s">
        <v>9</v>
      </c>
      <c r="C3" s="1" t="s">
        <v>14</v>
      </c>
      <c r="D3" s="1">
        <v>0.94</v>
      </c>
      <c r="E3" s="1">
        <v>9.06</v>
      </c>
      <c r="F3" s="1">
        <v>3.22</v>
      </c>
      <c r="G3" s="10">
        <v>20.100000000000001</v>
      </c>
    </row>
    <row r="4" spans="1:7" hidden="1" x14ac:dyDescent="0.7">
      <c r="A4" s="5" t="s">
        <v>2</v>
      </c>
      <c r="B4" s="5" t="s">
        <v>10</v>
      </c>
      <c r="C4" s="1" t="s">
        <v>14</v>
      </c>
      <c r="D4" s="1">
        <v>0.93</v>
      </c>
      <c r="E4" s="1">
        <v>9.7799999999999994</v>
      </c>
      <c r="F4" s="1">
        <v>2.98</v>
      </c>
      <c r="G4" s="10">
        <v>17.100000000000001</v>
      </c>
    </row>
    <row r="5" spans="1:7" hidden="1" x14ac:dyDescent="0.7">
      <c r="A5" s="5" t="s">
        <v>2</v>
      </c>
      <c r="B5" s="5" t="s">
        <v>11</v>
      </c>
      <c r="C5" s="1" t="s">
        <v>14</v>
      </c>
      <c r="D5" s="1">
        <v>0.94</v>
      </c>
      <c r="E5" s="1">
        <v>8.7200000000000006</v>
      </c>
      <c r="F5" s="1">
        <v>3.34</v>
      </c>
      <c r="G5" s="10">
        <v>18</v>
      </c>
    </row>
    <row r="6" spans="1:7" hidden="1" x14ac:dyDescent="0.7">
      <c r="A6" s="5" t="s">
        <v>2</v>
      </c>
      <c r="B6" s="5" t="s">
        <v>12</v>
      </c>
      <c r="C6" s="1" t="s">
        <v>14</v>
      </c>
      <c r="D6" s="1">
        <v>0.94</v>
      </c>
      <c r="E6" s="1">
        <v>9.16</v>
      </c>
      <c r="F6" s="1">
        <v>3.19</v>
      </c>
      <c r="G6" s="10">
        <v>19.899999999999999</v>
      </c>
    </row>
    <row r="7" spans="1:7" x14ac:dyDescent="0.7">
      <c r="A7" s="5" t="s">
        <v>3</v>
      </c>
      <c r="B7" s="5" t="s">
        <v>8</v>
      </c>
      <c r="C7" s="1" t="s">
        <v>14</v>
      </c>
      <c r="D7" s="1">
        <v>0.94</v>
      </c>
      <c r="E7" s="1">
        <v>7.75</v>
      </c>
      <c r="F7" s="1">
        <v>3.77</v>
      </c>
      <c r="G7" s="10">
        <v>103.5</v>
      </c>
    </row>
    <row r="8" spans="1:7" hidden="1" x14ac:dyDescent="0.7">
      <c r="A8" s="5" t="s">
        <v>3</v>
      </c>
      <c r="B8" s="5" t="s">
        <v>11</v>
      </c>
      <c r="C8" s="1" t="s">
        <v>14</v>
      </c>
      <c r="D8" s="1">
        <v>0.94</v>
      </c>
      <c r="E8" s="1">
        <v>8.11</v>
      </c>
      <c r="F8" s="1">
        <v>3.6</v>
      </c>
      <c r="G8" s="10">
        <v>23.2</v>
      </c>
    </row>
    <row r="9" spans="1:7" hidden="1" x14ac:dyDescent="0.7">
      <c r="A9" s="5" t="s">
        <v>3</v>
      </c>
      <c r="B9" s="5" t="s">
        <v>12</v>
      </c>
      <c r="C9" s="1" t="s">
        <v>17</v>
      </c>
      <c r="D9" s="1">
        <v>0.95</v>
      </c>
      <c r="E9" s="3">
        <v>8.14</v>
      </c>
      <c r="F9" s="3">
        <v>3.58</v>
      </c>
      <c r="G9" s="3">
        <v>28.7</v>
      </c>
    </row>
    <row r="10" spans="1:7" hidden="1" x14ac:dyDescent="0.7">
      <c r="A10" s="5" t="s">
        <v>3</v>
      </c>
      <c r="B10" s="5" t="s">
        <v>9</v>
      </c>
      <c r="C10" s="1" t="s">
        <v>14</v>
      </c>
      <c r="D10" s="1">
        <v>0.94</v>
      </c>
      <c r="E10" s="1">
        <v>8.2899999999999991</v>
      </c>
      <c r="F10" s="1">
        <v>3.52</v>
      </c>
      <c r="G10" s="10">
        <v>21.3</v>
      </c>
    </row>
    <row r="11" spans="1:7" hidden="1" x14ac:dyDescent="0.7">
      <c r="A11" s="5" t="s">
        <v>3</v>
      </c>
      <c r="B11" s="5" t="s">
        <v>11</v>
      </c>
      <c r="C11" s="1" t="s">
        <v>18</v>
      </c>
      <c r="D11" s="1">
        <v>0.94</v>
      </c>
      <c r="E11" s="3">
        <v>8.3000000000000007</v>
      </c>
      <c r="F11" s="3">
        <v>3.51</v>
      </c>
      <c r="G11" s="1">
        <v>33.6</v>
      </c>
    </row>
    <row r="12" spans="1:7" hidden="1" x14ac:dyDescent="0.7">
      <c r="A12" s="5" t="s">
        <v>5</v>
      </c>
      <c r="B12" s="5" t="s">
        <v>9</v>
      </c>
      <c r="C12" s="1" t="s">
        <v>14</v>
      </c>
      <c r="D12" s="1">
        <v>0.94</v>
      </c>
      <c r="E12" s="1">
        <v>7.39</v>
      </c>
      <c r="F12" s="1">
        <v>3.95</v>
      </c>
      <c r="G12" s="10">
        <v>36.299999999999997</v>
      </c>
    </row>
    <row r="13" spans="1:7" hidden="1" x14ac:dyDescent="0.7">
      <c r="A13" s="5" t="s">
        <v>5</v>
      </c>
      <c r="B13" s="5" t="s">
        <v>9</v>
      </c>
      <c r="C13" s="1" t="s">
        <v>17</v>
      </c>
      <c r="D13" s="1">
        <v>0.94</v>
      </c>
      <c r="E13" s="3">
        <v>7.39</v>
      </c>
      <c r="F13" s="3">
        <v>3.95</v>
      </c>
      <c r="G13" s="3">
        <v>32.6</v>
      </c>
    </row>
    <row r="14" spans="1:7" hidden="1" x14ac:dyDescent="0.7">
      <c r="A14" s="5" t="s">
        <v>5</v>
      </c>
      <c r="B14" s="5" t="s">
        <v>12</v>
      </c>
      <c r="C14" s="1" t="s">
        <v>14</v>
      </c>
      <c r="D14" s="1">
        <v>0.95</v>
      </c>
      <c r="E14" s="1">
        <v>7.62</v>
      </c>
      <c r="F14" s="1">
        <v>3.83</v>
      </c>
      <c r="G14" s="10">
        <v>26.2</v>
      </c>
    </row>
    <row r="15" spans="1:7" hidden="1" x14ac:dyDescent="0.7">
      <c r="A15" s="5" t="s">
        <v>5</v>
      </c>
      <c r="B15" s="5" t="s">
        <v>11</v>
      </c>
      <c r="C15" s="1" t="s">
        <v>17</v>
      </c>
      <c r="D15" s="1">
        <v>0.93</v>
      </c>
      <c r="E15" s="3">
        <v>7.62</v>
      </c>
      <c r="F15" s="3">
        <v>3.83</v>
      </c>
      <c r="G15" s="3">
        <v>26.7</v>
      </c>
    </row>
    <row r="16" spans="1:7" hidden="1" x14ac:dyDescent="0.7">
      <c r="A16" s="5" t="s">
        <v>5</v>
      </c>
      <c r="B16" s="5" t="s">
        <v>11</v>
      </c>
      <c r="C16" s="1" t="s">
        <v>14</v>
      </c>
      <c r="D16" s="1">
        <v>0.93</v>
      </c>
      <c r="E16" s="1">
        <v>7.65</v>
      </c>
      <c r="F16" s="1">
        <v>3.81</v>
      </c>
      <c r="G16" s="10">
        <v>31.9</v>
      </c>
    </row>
    <row r="17" spans="1:7" x14ac:dyDescent="0.7">
      <c r="A17" s="5" t="s">
        <v>6</v>
      </c>
      <c r="B17" s="5" t="s">
        <v>8</v>
      </c>
      <c r="C17" s="1" t="s">
        <v>18</v>
      </c>
      <c r="D17" s="1">
        <v>0.94</v>
      </c>
      <c r="E17" s="3">
        <v>7.97</v>
      </c>
      <c r="F17" s="3">
        <v>3.66</v>
      </c>
      <c r="G17" s="1">
        <v>553.6</v>
      </c>
    </row>
    <row r="18" spans="1:7" hidden="1" x14ac:dyDescent="0.7">
      <c r="A18" s="5" t="s">
        <v>6</v>
      </c>
      <c r="B18" s="5" t="s">
        <v>11</v>
      </c>
      <c r="C18" s="1" t="s">
        <v>14</v>
      </c>
      <c r="D18" s="1">
        <v>0.94</v>
      </c>
      <c r="E18" s="1">
        <v>8.1300000000000008</v>
      </c>
      <c r="F18" s="1">
        <v>3.59</v>
      </c>
      <c r="G18" s="10">
        <v>171.7</v>
      </c>
    </row>
    <row r="19" spans="1:7" hidden="1" x14ac:dyDescent="0.7">
      <c r="A19" s="5" t="s">
        <v>6</v>
      </c>
      <c r="B19" s="5" t="s">
        <v>9</v>
      </c>
      <c r="C19" s="1" t="s">
        <v>18</v>
      </c>
      <c r="D19" s="1">
        <v>0.94</v>
      </c>
      <c r="E19" s="3">
        <v>8.2200000000000006</v>
      </c>
      <c r="F19" s="3">
        <v>3.55</v>
      </c>
      <c r="G19" s="1">
        <v>91</v>
      </c>
    </row>
    <row r="20" spans="1:7" hidden="1" x14ac:dyDescent="0.7">
      <c r="A20" s="5" t="s">
        <v>6</v>
      </c>
      <c r="B20" s="5" t="s">
        <v>9</v>
      </c>
      <c r="C20" s="1" t="s">
        <v>14</v>
      </c>
      <c r="D20" s="1">
        <v>0.94</v>
      </c>
      <c r="E20" s="1">
        <v>8.24</v>
      </c>
      <c r="F20" s="1">
        <v>3.54</v>
      </c>
      <c r="G20" s="10">
        <v>171.1</v>
      </c>
    </row>
    <row r="21" spans="1:7" hidden="1" x14ac:dyDescent="0.7">
      <c r="A21" s="5" t="s">
        <v>6</v>
      </c>
      <c r="B21" s="5" t="s">
        <v>11</v>
      </c>
      <c r="C21" s="1" t="s">
        <v>17</v>
      </c>
      <c r="D21" s="1">
        <v>0.94</v>
      </c>
      <c r="E21" s="3">
        <v>8.23</v>
      </c>
      <c r="F21" s="3">
        <v>3.54</v>
      </c>
      <c r="G21" s="3">
        <v>168.4</v>
      </c>
    </row>
    <row r="22" spans="1:7" x14ac:dyDescent="0.7">
      <c r="A22" s="5" t="s">
        <v>7</v>
      </c>
      <c r="B22" s="5" t="s">
        <v>8</v>
      </c>
      <c r="C22" s="1" t="s">
        <v>17</v>
      </c>
      <c r="D22" s="1">
        <v>0.95</v>
      </c>
      <c r="E22" s="3">
        <v>7.44</v>
      </c>
      <c r="F22" s="3">
        <v>3.92</v>
      </c>
      <c r="G22" s="3">
        <v>1442.4</v>
      </c>
    </row>
    <row r="23" spans="1:7" x14ac:dyDescent="0.7">
      <c r="A23" s="5" t="s">
        <v>7</v>
      </c>
      <c r="B23" s="5" t="s">
        <v>8</v>
      </c>
      <c r="C23" s="1" t="s">
        <v>18</v>
      </c>
      <c r="D23" s="1">
        <v>0.95</v>
      </c>
      <c r="E23" s="3">
        <v>7.8</v>
      </c>
      <c r="F23" s="3">
        <v>3.74</v>
      </c>
      <c r="G23" s="1">
        <v>622.79999999999995</v>
      </c>
    </row>
    <row r="24" spans="1:7" x14ac:dyDescent="0.7">
      <c r="A24" s="5" t="s">
        <v>7</v>
      </c>
      <c r="B24" s="5" t="s">
        <v>8</v>
      </c>
      <c r="C24" s="1" t="s">
        <v>14</v>
      </c>
      <c r="D24" s="1">
        <v>0.94</v>
      </c>
      <c r="E24" s="1">
        <v>7.83</v>
      </c>
      <c r="F24" s="1">
        <v>3.72</v>
      </c>
      <c r="G24" s="10">
        <v>1679.6</v>
      </c>
    </row>
    <row r="25" spans="1:7" hidden="1" x14ac:dyDescent="0.7">
      <c r="A25" s="5" t="s">
        <v>7</v>
      </c>
      <c r="B25" s="5" t="s">
        <v>9</v>
      </c>
      <c r="C25" s="1" t="s">
        <v>14</v>
      </c>
      <c r="D25" s="1">
        <v>0.94</v>
      </c>
      <c r="E25" s="1">
        <v>8</v>
      </c>
      <c r="F25" s="1">
        <v>3.64</v>
      </c>
      <c r="G25" s="10">
        <v>263</v>
      </c>
    </row>
    <row r="26" spans="1:7" hidden="1" x14ac:dyDescent="0.7">
      <c r="A26" s="5" t="s">
        <v>7</v>
      </c>
      <c r="B26" s="5" t="s">
        <v>9</v>
      </c>
      <c r="C26" s="1" t="s">
        <v>17</v>
      </c>
      <c r="D26" s="1">
        <v>0.94</v>
      </c>
      <c r="E26" s="3">
        <v>8.0399999999999991</v>
      </c>
      <c r="F26" s="3">
        <v>3.63</v>
      </c>
      <c r="G26" s="3">
        <v>313.10000000000002</v>
      </c>
    </row>
    <row r="27" spans="1:7" x14ac:dyDescent="0.7">
      <c r="A27" s="5" t="s">
        <v>2</v>
      </c>
      <c r="B27" s="5" t="s">
        <v>8</v>
      </c>
      <c r="C27" s="1" t="s">
        <v>17</v>
      </c>
      <c r="D27" s="1">
        <v>0.94</v>
      </c>
      <c r="E27" s="3">
        <v>9.31</v>
      </c>
      <c r="F27" s="3">
        <v>3.13</v>
      </c>
      <c r="G27" s="3">
        <v>12</v>
      </c>
    </row>
    <row r="28" spans="1:7" hidden="1" x14ac:dyDescent="0.7">
      <c r="A28" s="5" t="s">
        <v>2</v>
      </c>
      <c r="B28" s="5" t="s">
        <v>9</v>
      </c>
      <c r="C28" s="1" t="s">
        <v>17</v>
      </c>
      <c r="D28" s="1">
        <v>0.94</v>
      </c>
      <c r="E28" s="3">
        <v>9</v>
      </c>
      <c r="F28" s="3">
        <v>3.24</v>
      </c>
      <c r="G28" s="3">
        <v>15.9</v>
      </c>
    </row>
    <row r="29" spans="1:7" hidden="1" x14ac:dyDescent="0.7">
      <c r="A29" s="5" t="s">
        <v>2</v>
      </c>
      <c r="B29" s="5" t="s">
        <v>10</v>
      </c>
      <c r="C29" s="1" t="s">
        <v>17</v>
      </c>
      <c r="D29" s="1">
        <v>0.94</v>
      </c>
      <c r="E29" s="3">
        <v>9.98</v>
      </c>
      <c r="F29" s="3">
        <v>2.92</v>
      </c>
      <c r="G29" s="3">
        <v>14.4</v>
      </c>
    </row>
    <row r="30" spans="1:7" hidden="1" x14ac:dyDescent="0.7">
      <c r="A30" s="5" t="s">
        <v>2</v>
      </c>
      <c r="B30" s="5" t="s">
        <v>11</v>
      </c>
      <c r="C30" s="1" t="s">
        <v>17</v>
      </c>
      <c r="D30" s="1">
        <v>0.94</v>
      </c>
      <c r="E30" s="3">
        <v>8.66</v>
      </c>
      <c r="F30" s="3">
        <v>3.37</v>
      </c>
      <c r="G30" s="3">
        <v>15.5</v>
      </c>
    </row>
    <row r="31" spans="1:7" hidden="1" x14ac:dyDescent="0.7">
      <c r="A31" s="5" t="s">
        <v>2</v>
      </c>
      <c r="B31" s="5" t="s">
        <v>12</v>
      </c>
      <c r="C31" s="1" t="s">
        <v>17</v>
      </c>
      <c r="D31" s="1">
        <v>0.94</v>
      </c>
      <c r="E31" s="3">
        <v>9.1199999999999992</v>
      </c>
      <c r="F31" s="3">
        <v>3.2</v>
      </c>
      <c r="G31" s="3">
        <v>17</v>
      </c>
    </row>
    <row r="32" spans="1:7" hidden="1" x14ac:dyDescent="0.7">
      <c r="A32" s="5" t="s">
        <v>3</v>
      </c>
      <c r="B32" s="5" t="s">
        <v>12</v>
      </c>
      <c r="C32" s="1" t="s">
        <v>18</v>
      </c>
      <c r="D32" s="1">
        <v>0.94</v>
      </c>
      <c r="E32" s="3">
        <v>8.35</v>
      </c>
      <c r="F32" s="3">
        <v>3.49</v>
      </c>
      <c r="G32" s="1">
        <v>16.8</v>
      </c>
    </row>
    <row r="33" spans="1:7" hidden="1" x14ac:dyDescent="0.7">
      <c r="A33" s="5" t="s">
        <v>3</v>
      </c>
      <c r="B33" s="5" t="s">
        <v>11</v>
      </c>
      <c r="C33" s="1" t="s">
        <v>17</v>
      </c>
      <c r="D33" s="1">
        <v>0.94</v>
      </c>
      <c r="E33" s="3">
        <v>8.3800000000000008</v>
      </c>
      <c r="F33" s="3">
        <v>3.48</v>
      </c>
      <c r="G33" s="3">
        <v>26.9</v>
      </c>
    </row>
    <row r="34" spans="1:7" hidden="1" x14ac:dyDescent="0.7">
      <c r="A34" s="5" t="s">
        <v>3</v>
      </c>
      <c r="B34" s="5" t="s">
        <v>9</v>
      </c>
      <c r="C34" s="1" t="s">
        <v>18</v>
      </c>
      <c r="D34" s="1">
        <v>0.94</v>
      </c>
      <c r="E34" s="3">
        <v>8.42</v>
      </c>
      <c r="F34" s="3">
        <v>3.47</v>
      </c>
      <c r="G34" s="1">
        <v>15.3</v>
      </c>
    </row>
    <row r="35" spans="1:7" hidden="1" x14ac:dyDescent="0.7">
      <c r="A35" s="5" t="s">
        <v>3</v>
      </c>
      <c r="B35" s="5" t="s">
        <v>9</v>
      </c>
      <c r="C35" s="1" t="s">
        <v>17</v>
      </c>
      <c r="D35" s="1">
        <v>0.94</v>
      </c>
      <c r="E35" s="3">
        <v>8.4700000000000006</v>
      </c>
      <c r="F35" s="3">
        <v>3.44</v>
      </c>
      <c r="G35" s="3">
        <v>26</v>
      </c>
    </row>
    <row r="36" spans="1:7" hidden="1" x14ac:dyDescent="0.7">
      <c r="A36" s="5" t="s">
        <v>3</v>
      </c>
      <c r="B36" s="5" t="s">
        <v>12</v>
      </c>
      <c r="C36" s="1" t="s">
        <v>14</v>
      </c>
      <c r="D36" s="1">
        <v>0.94</v>
      </c>
      <c r="E36" s="1">
        <v>8.85</v>
      </c>
      <c r="F36" s="1">
        <v>3.29</v>
      </c>
      <c r="G36" s="10">
        <v>30.7</v>
      </c>
    </row>
    <row r="37" spans="1:7" hidden="1" x14ac:dyDescent="0.7">
      <c r="A37" s="5" t="s">
        <v>5</v>
      </c>
      <c r="B37" s="5" t="s">
        <v>12</v>
      </c>
      <c r="C37" s="1" t="s">
        <v>17</v>
      </c>
      <c r="D37" s="1">
        <v>0.95</v>
      </c>
      <c r="E37" s="3">
        <v>7.72</v>
      </c>
      <c r="F37" s="3">
        <v>3.78</v>
      </c>
      <c r="G37" s="3">
        <v>25.6</v>
      </c>
    </row>
    <row r="38" spans="1:7" hidden="1" x14ac:dyDescent="0.7">
      <c r="A38" s="5" t="s">
        <v>5</v>
      </c>
      <c r="B38" s="5" t="s">
        <v>9</v>
      </c>
      <c r="C38" s="1" t="s">
        <v>18</v>
      </c>
      <c r="D38" s="1">
        <v>0.92</v>
      </c>
      <c r="E38" s="3">
        <v>8.26</v>
      </c>
      <c r="F38" s="3">
        <v>3.53</v>
      </c>
      <c r="G38" s="1">
        <v>53.9</v>
      </c>
    </row>
    <row r="39" spans="1:7" hidden="1" x14ac:dyDescent="0.7">
      <c r="A39" s="5" t="s">
        <v>5</v>
      </c>
      <c r="B39" s="5" t="s">
        <v>12</v>
      </c>
      <c r="C39" s="1" t="s">
        <v>18</v>
      </c>
      <c r="D39" s="1">
        <v>0.94</v>
      </c>
      <c r="E39" s="3">
        <v>8.68</v>
      </c>
      <c r="F39" s="3">
        <v>3.36</v>
      </c>
      <c r="G39" s="1">
        <v>40.799999999999997</v>
      </c>
    </row>
    <row r="40" spans="1:7" hidden="1" x14ac:dyDescent="0.7">
      <c r="A40" s="5" t="s">
        <v>5</v>
      </c>
      <c r="B40" s="5" t="s">
        <v>10</v>
      </c>
      <c r="C40" s="1" t="s">
        <v>14</v>
      </c>
      <c r="D40" s="1">
        <v>0.94</v>
      </c>
      <c r="E40" s="1">
        <v>8.73</v>
      </c>
      <c r="F40" s="1">
        <v>3.34</v>
      </c>
      <c r="G40" s="10">
        <v>21.8</v>
      </c>
    </row>
    <row r="41" spans="1:7" hidden="1" x14ac:dyDescent="0.7">
      <c r="A41" s="5" t="s">
        <v>5</v>
      </c>
      <c r="B41" s="5" t="s">
        <v>10</v>
      </c>
      <c r="C41" s="1" t="s">
        <v>17</v>
      </c>
      <c r="D41" s="1">
        <v>0.94</v>
      </c>
      <c r="E41" s="3">
        <v>9.1300000000000008</v>
      </c>
      <c r="F41" s="3">
        <v>3.19</v>
      </c>
      <c r="G41" s="3">
        <v>25.2</v>
      </c>
    </row>
    <row r="42" spans="1:7" hidden="1" x14ac:dyDescent="0.7">
      <c r="A42" s="5" t="s">
        <v>6</v>
      </c>
      <c r="B42" s="5" t="s">
        <v>11</v>
      </c>
      <c r="C42" s="1" t="s">
        <v>18</v>
      </c>
      <c r="D42" s="1">
        <v>0.94</v>
      </c>
      <c r="E42" s="3">
        <v>8.24</v>
      </c>
      <c r="F42" s="3">
        <v>3.54</v>
      </c>
      <c r="G42" s="1">
        <v>96</v>
      </c>
    </row>
    <row r="43" spans="1:7" hidden="1" x14ac:dyDescent="0.7">
      <c r="A43" s="5" t="s">
        <v>6</v>
      </c>
      <c r="B43" s="5" t="s">
        <v>9</v>
      </c>
      <c r="C43" s="1" t="s">
        <v>17</v>
      </c>
      <c r="D43" s="1">
        <v>0.94</v>
      </c>
      <c r="E43" s="3">
        <v>8.27</v>
      </c>
      <c r="F43" s="3">
        <v>3.53</v>
      </c>
      <c r="G43" s="3">
        <v>180.9</v>
      </c>
    </row>
    <row r="44" spans="1:7" hidden="1" x14ac:dyDescent="0.7">
      <c r="A44" s="5" t="s">
        <v>6</v>
      </c>
      <c r="B44" s="5" t="s">
        <v>12</v>
      </c>
      <c r="C44" s="1" t="s">
        <v>18</v>
      </c>
      <c r="D44" s="1">
        <v>0.94</v>
      </c>
      <c r="E44" s="3">
        <v>8.39</v>
      </c>
      <c r="F44" s="3">
        <v>3.48</v>
      </c>
      <c r="G44" s="1">
        <v>104.1</v>
      </c>
    </row>
    <row r="45" spans="1:7" hidden="1" x14ac:dyDescent="0.7">
      <c r="A45" s="5" t="s">
        <v>6</v>
      </c>
      <c r="B45" s="5" t="s">
        <v>12</v>
      </c>
      <c r="C45" s="1" t="s">
        <v>17</v>
      </c>
      <c r="D45" s="1">
        <v>0.94</v>
      </c>
      <c r="E45" s="3">
        <v>8.69</v>
      </c>
      <c r="F45" s="3">
        <v>3.36</v>
      </c>
      <c r="G45" s="3">
        <v>148.5</v>
      </c>
    </row>
    <row r="46" spans="1:7" hidden="1" x14ac:dyDescent="0.7">
      <c r="A46" s="5" t="s">
        <v>6</v>
      </c>
      <c r="B46" s="5" t="s">
        <v>10</v>
      </c>
      <c r="C46" s="1" t="s">
        <v>18</v>
      </c>
      <c r="D46" s="1">
        <v>0.93</v>
      </c>
      <c r="E46" s="3">
        <v>6.35</v>
      </c>
      <c r="F46" s="3">
        <v>3.19</v>
      </c>
      <c r="G46" s="1">
        <v>103.4</v>
      </c>
    </row>
    <row r="47" spans="1:7" hidden="1" x14ac:dyDescent="0.7">
      <c r="A47" s="5" t="s">
        <v>7</v>
      </c>
      <c r="B47" s="5" t="s">
        <v>11</v>
      </c>
      <c r="C47" s="1" t="s">
        <v>18</v>
      </c>
      <c r="D47" s="1">
        <v>0.94</v>
      </c>
      <c r="E47" s="3">
        <v>8.07</v>
      </c>
      <c r="F47" s="3">
        <v>3.61</v>
      </c>
      <c r="G47" s="1">
        <v>228.5</v>
      </c>
    </row>
    <row r="48" spans="1:7" hidden="1" x14ac:dyDescent="0.7">
      <c r="A48" s="5" t="s">
        <v>7</v>
      </c>
      <c r="B48" s="5" t="s">
        <v>11</v>
      </c>
      <c r="C48" s="1" t="s">
        <v>17</v>
      </c>
      <c r="D48" s="1">
        <v>0.94</v>
      </c>
      <c r="E48" s="3">
        <v>8.1</v>
      </c>
      <c r="F48" s="3">
        <v>3.6</v>
      </c>
      <c r="G48" s="3">
        <v>287.39999999999998</v>
      </c>
    </row>
    <row r="49" spans="1:7" hidden="1" x14ac:dyDescent="0.7">
      <c r="A49" s="5" t="s">
        <v>7</v>
      </c>
      <c r="B49" s="5" t="s">
        <v>11</v>
      </c>
      <c r="C49" s="1" t="s">
        <v>14</v>
      </c>
      <c r="D49" s="1">
        <v>0.94</v>
      </c>
      <c r="E49" s="1">
        <v>8.17</v>
      </c>
      <c r="F49" s="1">
        <v>3.57</v>
      </c>
      <c r="G49" s="10">
        <v>271.2</v>
      </c>
    </row>
    <row r="50" spans="1:7" hidden="1" x14ac:dyDescent="0.7">
      <c r="A50" s="5" t="s">
        <v>7</v>
      </c>
      <c r="B50" s="5" t="s">
        <v>9</v>
      </c>
      <c r="C50" s="1" t="s">
        <v>18</v>
      </c>
      <c r="D50" s="1">
        <v>0.94</v>
      </c>
      <c r="E50" s="3">
        <v>8.33</v>
      </c>
      <c r="F50" s="3">
        <v>3.5</v>
      </c>
      <c r="G50" s="1">
        <v>187.8</v>
      </c>
    </row>
    <row r="51" spans="1:7" hidden="1" x14ac:dyDescent="0.7">
      <c r="A51" s="5" t="s">
        <v>7</v>
      </c>
      <c r="B51" s="5" t="s">
        <v>12</v>
      </c>
      <c r="C51" s="1" t="s">
        <v>18</v>
      </c>
      <c r="D51" s="1">
        <v>0.94</v>
      </c>
      <c r="E51" s="3">
        <v>8.42</v>
      </c>
      <c r="F51" s="3">
        <v>3.46</v>
      </c>
      <c r="G51" s="1">
        <v>194.6</v>
      </c>
    </row>
    <row r="52" spans="1:7" x14ac:dyDescent="0.7">
      <c r="A52" s="5" t="s">
        <v>2</v>
      </c>
      <c r="B52" s="5" t="s">
        <v>8</v>
      </c>
      <c r="C52" s="1" t="s">
        <v>18</v>
      </c>
      <c r="D52" s="1">
        <v>0.94</v>
      </c>
      <c r="E52" s="3">
        <v>9.23</v>
      </c>
      <c r="F52" s="3">
        <v>3.16</v>
      </c>
      <c r="G52" s="1">
        <v>12.5</v>
      </c>
    </row>
    <row r="53" spans="1:7" hidden="1" x14ac:dyDescent="0.7">
      <c r="A53" s="5" t="s">
        <v>2</v>
      </c>
      <c r="B53" s="5" t="s">
        <v>9</v>
      </c>
      <c r="C53" s="1" t="s">
        <v>18</v>
      </c>
      <c r="D53" s="1">
        <v>0.94</v>
      </c>
      <c r="E53" s="3">
        <v>8.5500000000000007</v>
      </c>
      <c r="F53" s="3">
        <v>3.41</v>
      </c>
      <c r="G53" s="1">
        <v>16.399999999999999</v>
      </c>
    </row>
    <row r="54" spans="1:7" hidden="1" x14ac:dyDescent="0.7">
      <c r="A54" s="5" t="s">
        <v>2</v>
      </c>
      <c r="B54" s="5" t="s">
        <v>10</v>
      </c>
      <c r="C54" s="1" t="s">
        <v>18</v>
      </c>
      <c r="D54" s="1">
        <v>0.94</v>
      </c>
      <c r="E54" s="3">
        <v>9.65</v>
      </c>
      <c r="F54" s="3">
        <v>3.02</v>
      </c>
      <c r="G54" s="1">
        <v>14.7</v>
      </c>
    </row>
    <row r="55" spans="1:7" hidden="1" x14ac:dyDescent="0.7">
      <c r="A55" s="5" t="s">
        <v>2</v>
      </c>
      <c r="B55" s="5" t="s">
        <v>11</v>
      </c>
      <c r="C55" s="1" t="s">
        <v>18</v>
      </c>
      <c r="D55" s="1">
        <v>0.94</v>
      </c>
      <c r="E55" s="3">
        <v>8.69</v>
      </c>
      <c r="F55" s="3">
        <v>3.36</v>
      </c>
      <c r="G55" s="1">
        <v>17.399999999999999</v>
      </c>
    </row>
    <row r="56" spans="1:7" hidden="1" x14ac:dyDescent="0.7">
      <c r="A56" s="5" t="s">
        <v>2</v>
      </c>
      <c r="B56" s="5" t="s">
        <v>12</v>
      </c>
      <c r="C56" s="1" t="s">
        <v>18</v>
      </c>
      <c r="D56" s="1">
        <v>0.94</v>
      </c>
      <c r="E56" s="3">
        <v>8.49</v>
      </c>
      <c r="F56" s="3">
        <v>3.43</v>
      </c>
      <c r="G56" s="1">
        <v>18.899999999999999</v>
      </c>
    </row>
    <row r="57" spans="1:7" hidden="1" x14ac:dyDescent="0.7">
      <c r="A57" s="5" t="s">
        <v>3</v>
      </c>
      <c r="B57" s="5" t="s">
        <v>10</v>
      </c>
      <c r="C57" s="1" t="s">
        <v>18</v>
      </c>
      <c r="D57" s="1">
        <v>0.93</v>
      </c>
      <c r="E57" s="3">
        <v>9.1300000000000008</v>
      </c>
      <c r="F57" s="3">
        <v>3.2</v>
      </c>
      <c r="G57" s="1">
        <v>25.6</v>
      </c>
    </row>
    <row r="58" spans="1:7" hidden="1" x14ac:dyDescent="0.7">
      <c r="A58" s="5" t="s">
        <v>3</v>
      </c>
      <c r="B58" s="5" t="s">
        <v>10</v>
      </c>
      <c r="C58" s="1" t="s">
        <v>14</v>
      </c>
      <c r="D58" s="1">
        <v>0.93</v>
      </c>
      <c r="E58" s="1">
        <v>9.77</v>
      </c>
      <c r="F58" s="1">
        <v>2.99</v>
      </c>
      <c r="G58" s="10">
        <v>31.8</v>
      </c>
    </row>
    <row r="59" spans="1:7" hidden="1" x14ac:dyDescent="0.7">
      <c r="A59" s="5" t="s">
        <v>3</v>
      </c>
      <c r="B59" s="5" t="s">
        <v>10</v>
      </c>
      <c r="C59" s="1" t="s">
        <v>17</v>
      </c>
      <c r="D59" s="1">
        <v>0.93</v>
      </c>
      <c r="E59" s="3">
        <v>9.89</v>
      </c>
      <c r="F59" s="3">
        <v>2.95</v>
      </c>
      <c r="G59" s="3">
        <v>24.6</v>
      </c>
    </row>
    <row r="60" spans="1:7" x14ac:dyDescent="0.7">
      <c r="A60" s="5" t="s">
        <v>3</v>
      </c>
      <c r="B60" s="5" t="s">
        <v>8</v>
      </c>
      <c r="C60" s="1" t="s">
        <v>18</v>
      </c>
      <c r="D60" s="1">
        <v>0.91</v>
      </c>
      <c r="E60" s="3">
        <v>11</v>
      </c>
      <c r="F60" s="3">
        <v>2.64</v>
      </c>
      <c r="G60" s="1">
        <v>56.7</v>
      </c>
    </row>
    <row r="61" spans="1:7" x14ac:dyDescent="0.7">
      <c r="A61" s="5" t="s">
        <v>3</v>
      </c>
      <c r="B61" s="5" t="s">
        <v>8</v>
      </c>
      <c r="C61" s="1" t="s">
        <v>17</v>
      </c>
      <c r="D61" s="1">
        <v>0.82</v>
      </c>
      <c r="E61" s="3">
        <v>12.93</v>
      </c>
      <c r="F61" s="3">
        <v>2.2599999999999998</v>
      </c>
      <c r="G61" s="3">
        <v>77.2</v>
      </c>
    </row>
    <row r="62" spans="1:7" hidden="1" x14ac:dyDescent="0.7">
      <c r="A62" s="5" t="s">
        <v>5</v>
      </c>
      <c r="B62" s="5" t="s">
        <v>10</v>
      </c>
      <c r="C62" s="1" t="s">
        <v>18</v>
      </c>
      <c r="D62" s="1">
        <v>0.94</v>
      </c>
      <c r="E62" s="3">
        <v>9.17</v>
      </c>
      <c r="F62" s="3">
        <v>3.18</v>
      </c>
      <c r="G62" s="1">
        <v>20.8</v>
      </c>
    </row>
    <row r="63" spans="1:7" hidden="1" x14ac:dyDescent="0.7">
      <c r="A63" s="5" t="s">
        <v>5</v>
      </c>
      <c r="B63" s="5" t="s">
        <v>11</v>
      </c>
      <c r="C63" s="1" t="s">
        <v>18</v>
      </c>
      <c r="D63" s="1">
        <v>0.9</v>
      </c>
      <c r="E63" s="3">
        <v>9.48</v>
      </c>
      <c r="F63" s="3">
        <v>3.08</v>
      </c>
      <c r="G63" s="1">
        <v>21.6</v>
      </c>
    </row>
    <row r="64" spans="1:7" x14ac:dyDescent="0.7">
      <c r="A64" s="5" t="s">
        <v>4</v>
      </c>
      <c r="B64" s="5" t="s">
        <v>8</v>
      </c>
      <c r="C64" s="1" t="s">
        <v>14</v>
      </c>
      <c r="D64" s="1">
        <v>0.51</v>
      </c>
      <c r="E64" s="1">
        <v>22.63</v>
      </c>
      <c r="F64" s="1">
        <v>1.29</v>
      </c>
      <c r="G64" s="10">
        <v>22.6</v>
      </c>
    </row>
    <row r="65" spans="1:7" x14ac:dyDescent="0.7">
      <c r="A65" s="5" t="s">
        <v>4</v>
      </c>
      <c r="B65" s="5" t="s">
        <v>8</v>
      </c>
      <c r="C65" s="1" t="s">
        <v>17</v>
      </c>
      <c r="D65" s="1">
        <v>0.48</v>
      </c>
      <c r="E65" s="3">
        <v>23.21</v>
      </c>
      <c r="F65" s="3">
        <v>1.26</v>
      </c>
      <c r="G65" s="3">
        <v>26.7</v>
      </c>
    </row>
    <row r="66" spans="1:7" x14ac:dyDescent="0.7">
      <c r="A66" s="5" t="s">
        <v>4</v>
      </c>
      <c r="B66" s="5" t="s">
        <v>8</v>
      </c>
      <c r="C66" s="1" t="s">
        <v>18</v>
      </c>
      <c r="D66" s="1">
        <v>0.52</v>
      </c>
      <c r="E66" s="3">
        <v>23.17</v>
      </c>
      <c r="F66" s="3">
        <v>1.26</v>
      </c>
      <c r="G66" s="1">
        <v>22.4</v>
      </c>
    </row>
    <row r="67" spans="1:7" hidden="1" x14ac:dyDescent="0.7">
      <c r="A67" s="5" t="s">
        <v>6</v>
      </c>
      <c r="B67" s="5" t="s">
        <v>10</v>
      </c>
      <c r="C67" s="1" t="s">
        <v>17</v>
      </c>
      <c r="D67" s="1">
        <v>0.93</v>
      </c>
      <c r="E67" s="3">
        <v>9.56</v>
      </c>
      <c r="F67" s="3">
        <v>3.05</v>
      </c>
      <c r="G67" s="3">
        <v>186.4</v>
      </c>
    </row>
    <row r="68" spans="1:7" hidden="1" x14ac:dyDescent="0.7">
      <c r="A68" s="5" t="s">
        <v>6</v>
      </c>
      <c r="B68" s="5" t="s">
        <v>10</v>
      </c>
      <c r="C68" s="1" t="s">
        <v>14</v>
      </c>
      <c r="D68" s="1">
        <v>0.94</v>
      </c>
      <c r="E68" s="1">
        <v>9.67</v>
      </c>
      <c r="F68" s="1">
        <v>3.02</v>
      </c>
      <c r="G68" s="10">
        <v>258.2</v>
      </c>
    </row>
    <row r="69" spans="1:7" hidden="1" x14ac:dyDescent="0.7">
      <c r="A69" s="5" t="s">
        <v>6</v>
      </c>
      <c r="B69" s="5" t="s">
        <v>12</v>
      </c>
      <c r="C69" s="1" t="s">
        <v>14</v>
      </c>
      <c r="D69" s="1">
        <v>0.94</v>
      </c>
      <c r="E69" s="1">
        <v>9.67</v>
      </c>
      <c r="F69" s="1">
        <v>3.02</v>
      </c>
      <c r="G69" s="10">
        <v>258.2</v>
      </c>
    </row>
    <row r="70" spans="1:7" x14ac:dyDescent="0.7">
      <c r="A70" s="5" t="s">
        <v>6</v>
      </c>
      <c r="B70" s="5" t="s">
        <v>8</v>
      </c>
      <c r="C70" s="1" t="s">
        <v>14</v>
      </c>
      <c r="D70" s="1">
        <v>0.92</v>
      </c>
      <c r="E70" s="1">
        <v>10.15</v>
      </c>
      <c r="F70" s="1">
        <v>2.87</v>
      </c>
      <c r="G70" s="10">
        <v>1537.6</v>
      </c>
    </row>
    <row r="71" spans="1:7" x14ac:dyDescent="0.7">
      <c r="A71" s="5" t="s">
        <v>6</v>
      </c>
      <c r="B71" s="5" t="s">
        <v>8</v>
      </c>
      <c r="C71" s="1" t="s">
        <v>17</v>
      </c>
      <c r="D71" s="1">
        <v>0.88</v>
      </c>
      <c r="E71" s="3">
        <v>11.01</v>
      </c>
      <c r="F71" s="3">
        <v>2.65</v>
      </c>
      <c r="G71" s="3">
        <v>1178.7</v>
      </c>
    </row>
    <row r="72" spans="1:7" hidden="1" x14ac:dyDescent="0.7">
      <c r="A72" s="5" t="s">
        <v>7</v>
      </c>
      <c r="B72" s="5" t="s">
        <v>12</v>
      </c>
      <c r="C72" s="1" t="s">
        <v>17</v>
      </c>
      <c r="D72" s="1">
        <v>0.94</v>
      </c>
      <c r="E72" s="3">
        <v>8.5500000000000007</v>
      </c>
      <c r="F72" s="3">
        <v>3.41</v>
      </c>
      <c r="G72" s="3">
        <v>280.5</v>
      </c>
    </row>
    <row r="73" spans="1:7" hidden="1" x14ac:dyDescent="0.7">
      <c r="A73" s="5" t="s">
        <v>7</v>
      </c>
      <c r="B73" s="5" t="s">
        <v>12</v>
      </c>
      <c r="C73" s="1" t="s">
        <v>14</v>
      </c>
      <c r="D73" s="1">
        <v>0.94</v>
      </c>
      <c r="E73" s="1">
        <v>8.7100000000000009</v>
      </c>
      <c r="F73" s="1">
        <v>3.35</v>
      </c>
      <c r="G73" s="10">
        <v>306.60000000000002</v>
      </c>
    </row>
    <row r="74" spans="1:7" hidden="1" x14ac:dyDescent="0.7">
      <c r="A74" s="5" t="s">
        <v>7</v>
      </c>
      <c r="B74" s="5" t="s">
        <v>10</v>
      </c>
      <c r="C74" s="1" t="s">
        <v>17</v>
      </c>
      <c r="D74" s="1">
        <v>0.94</v>
      </c>
      <c r="E74" s="3">
        <v>9.2799999999999994</v>
      </c>
      <c r="F74" s="3">
        <v>3.14</v>
      </c>
      <c r="G74" s="3">
        <v>358.8</v>
      </c>
    </row>
    <row r="75" spans="1:7" hidden="1" x14ac:dyDescent="0.7">
      <c r="A75" s="5" t="s">
        <v>7</v>
      </c>
      <c r="B75" s="5" t="s">
        <v>10</v>
      </c>
      <c r="C75" s="1" t="s">
        <v>14</v>
      </c>
      <c r="D75" s="1">
        <v>0.93</v>
      </c>
      <c r="E75" s="1">
        <v>9.3800000000000008</v>
      </c>
      <c r="F75" s="1">
        <v>3.11</v>
      </c>
      <c r="G75" s="10">
        <v>379.6</v>
      </c>
    </row>
    <row r="76" spans="1:7" hidden="1" x14ac:dyDescent="0.7">
      <c r="A76" s="5" t="s">
        <v>7</v>
      </c>
      <c r="B76" s="5" t="s">
        <v>10</v>
      </c>
      <c r="C76" s="1" t="s">
        <v>18</v>
      </c>
      <c r="D76" s="1">
        <v>0.94</v>
      </c>
      <c r="E76" s="3">
        <v>9.42</v>
      </c>
      <c r="F76" s="3">
        <v>3.09</v>
      </c>
      <c r="G76" s="1">
        <v>235.8</v>
      </c>
    </row>
    <row r="77" spans="1:7" x14ac:dyDescent="0.7">
      <c r="A77" s="5">
        <f>SUBTOTAL(104,Table1[Model])</f>
        <v>0</v>
      </c>
      <c r="B77" s="5"/>
      <c r="D77" s="1">
        <f>SUBTOTAL(101,Table1[R_squared])</f>
        <v>0.83866666666666667</v>
      </c>
      <c r="E77" s="1">
        <f>SUBTOTAL(101,Table1[RMSEP])</f>
        <v>12.042000000000002</v>
      </c>
      <c r="F77" s="1">
        <f>SUBTOTAL(101,Table1[RPD])</f>
        <v>2.8333333333333326</v>
      </c>
      <c r="G77" s="1">
        <f>SUBTOTAL(101,Table1[Training_Time])</f>
        <v>491.27333333333331</v>
      </c>
    </row>
    <row r="78" spans="1:7" x14ac:dyDescent="0.7">
      <c r="A78" s="5"/>
      <c r="B78" s="5"/>
    </row>
    <row r="79" spans="1:7" x14ac:dyDescent="0.7">
      <c r="A79" s="5"/>
      <c r="B79" s="5"/>
    </row>
    <row r="80" spans="1:7" x14ac:dyDescent="0.7">
      <c r="A80" s="5"/>
      <c r="B80" s="5"/>
    </row>
    <row r="81" spans="1:2" x14ac:dyDescent="0.7">
      <c r="A81" s="5"/>
      <c r="B81" s="5"/>
    </row>
    <row r="82" spans="1:2" x14ac:dyDescent="0.7">
      <c r="A82" s="5"/>
      <c r="B82" s="5"/>
    </row>
    <row r="83" spans="1:2" x14ac:dyDescent="0.7">
      <c r="A83" s="5"/>
      <c r="B83" s="5"/>
    </row>
    <row r="84" spans="1:2" x14ac:dyDescent="0.7">
      <c r="A84" s="5"/>
      <c r="B84" s="5"/>
    </row>
    <row r="85" spans="1:2" x14ac:dyDescent="0.7">
      <c r="A85" s="5"/>
      <c r="B85" s="5"/>
    </row>
    <row r="86" spans="1:2" x14ac:dyDescent="0.7">
      <c r="A86" s="5"/>
      <c r="B86" s="5"/>
    </row>
    <row r="87" spans="1:2" x14ac:dyDescent="0.7">
      <c r="A87" s="5"/>
      <c r="B87" s="5"/>
    </row>
    <row r="88" spans="1:2" x14ac:dyDescent="0.7">
      <c r="A88" s="5"/>
      <c r="B88" s="5"/>
    </row>
    <row r="89" spans="1:2" x14ac:dyDescent="0.7">
      <c r="A89" s="5"/>
      <c r="B89" s="5"/>
    </row>
    <row r="90" spans="1:2" x14ac:dyDescent="0.7">
      <c r="A90" s="5"/>
      <c r="B90" s="5"/>
    </row>
    <row r="91" spans="1:2" x14ac:dyDescent="0.7">
      <c r="A91" s="5"/>
      <c r="B91" s="5"/>
    </row>
    <row r="92" spans="1:2" x14ac:dyDescent="0.7">
      <c r="A92" s="5"/>
      <c r="B92" s="5"/>
    </row>
    <row r="93" spans="1:2" x14ac:dyDescent="0.7">
      <c r="A93" s="5"/>
      <c r="B93" s="5"/>
    </row>
    <row r="94" spans="1:2" x14ac:dyDescent="0.7">
      <c r="A94" s="5"/>
      <c r="B94" s="5"/>
    </row>
    <row r="95" spans="1:2" x14ac:dyDescent="0.7">
      <c r="A95" s="5"/>
      <c r="B95" s="5"/>
    </row>
    <row r="96" spans="1:2" x14ac:dyDescent="0.7">
      <c r="A96" s="5"/>
      <c r="B96" s="5"/>
    </row>
    <row r="97" spans="1:2" x14ac:dyDescent="0.7">
      <c r="A97" s="5"/>
      <c r="B97" s="5"/>
    </row>
    <row r="98" spans="1:2" x14ac:dyDescent="0.7">
      <c r="A98" s="5"/>
      <c r="B98" s="5"/>
    </row>
    <row r="99" spans="1:2" x14ac:dyDescent="0.7">
      <c r="A99" s="5"/>
      <c r="B99" s="5"/>
    </row>
    <row r="100" spans="1:2" x14ac:dyDescent="0.7">
      <c r="A100" s="5"/>
      <c r="B100" s="5"/>
    </row>
    <row r="101" spans="1:2" ht="14.25" thickBot="1" x14ac:dyDescent="0.85">
      <c r="A101" s="7"/>
      <c r="B101" s="7"/>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2605-7B7F-4A77-BBE3-0937F4739CCE}">
  <dimension ref="A1"/>
  <sheetViews>
    <sheetView workbookViewId="0"/>
  </sheetViews>
  <sheetFormatPr defaultRowHeight="14.75" x14ac:dyDescent="0.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57DB90CFC4444E93D4A3B703BF5E78" ma:contentTypeVersion="16" ma:contentTypeDescription="Een nieuw document maken." ma:contentTypeScope="" ma:versionID="21a0179a929ef48d76dde08382c6139e">
  <xsd:schema xmlns:xsd="http://www.w3.org/2001/XMLSchema" xmlns:xs="http://www.w3.org/2001/XMLSchema" xmlns:p="http://schemas.microsoft.com/office/2006/metadata/properties" xmlns:ns3="09699fdf-921b-48f3-a92f-ef58895a3eef" xmlns:ns4="d9a60bd6-c0d1-498c-a7a6-d6eadcc047ff" targetNamespace="http://schemas.microsoft.com/office/2006/metadata/properties" ma:root="true" ma:fieldsID="5067653e426dd6269abab96e9e921708" ns3:_="" ns4:_="">
    <xsd:import namespace="09699fdf-921b-48f3-a92f-ef58895a3eef"/>
    <xsd:import namespace="d9a60bd6-c0d1-498c-a7a6-d6eadcc047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699fdf-921b-48f3-a92f-ef58895a3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a60bd6-c0d1-498c-a7a6-d6eadcc047ff"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9699fdf-921b-48f3-a92f-ef58895a3eef" xsi:nil="true"/>
  </documentManagement>
</p:properties>
</file>

<file path=customXml/itemProps1.xml><?xml version="1.0" encoding="utf-8"?>
<ds:datastoreItem xmlns:ds="http://schemas.openxmlformats.org/officeDocument/2006/customXml" ds:itemID="{52B1A74F-846F-4622-833E-097EB5FC80D5}">
  <ds:schemaRefs>
    <ds:schemaRef ds:uri="http://schemas.microsoft.com/sharepoint/v3/contenttype/forms"/>
  </ds:schemaRefs>
</ds:datastoreItem>
</file>

<file path=customXml/itemProps2.xml><?xml version="1.0" encoding="utf-8"?>
<ds:datastoreItem xmlns:ds="http://schemas.openxmlformats.org/officeDocument/2006/customXml" ds:itemID="{20F8FB79-B5AD-4F60-87ED-B09BE3CC36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699fdf-921b-48f3-a92f-ef58895a3eef"/>
    <ds:schemaRef ds:uri="d9a60bd6-c0d1-498c-a7a6-d6eadcc04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CBF4AE-04FE-4A21-A6C7-1DCB83754921}">
  <ds:schemaRefs>
    <ds:schemaRef ds:uri="http://www.w3.org/XML/1998/namespace"/>
    <ds:schemaRef ds:uri="http://purl.org/dc/terms/"/>
    <ds:schemaRef ds:uri="http://purl.org/dc/elements/1.1/"/>
    <ds:schemaRef ds:uri="09699fdf-921b-48f3-a92f-ef58895a3eef"/>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d9a60bd6-c0d1-498c-a7a6-d6eadcc047f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Malavi</dc:creator>
  <cp:lastModifiedBy>Derick Malavi</cp:lastModifiedBy>
  <dcterms:created xsi:type="dcterms:W3CDTF">2024-12-23T05:27:54Z</dcterms:created>
  <dcterms:modified xsi:type="dcterms:W3CDTF">2025-05-20T06:19:03Z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0x010100D157DB90CFC4444E93D4A3B703BF5E78</vt:lpwstr>
  </property>
</Properties>
</file>